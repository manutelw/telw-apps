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2c438a03234a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udent Tracker" sheetId="1" r:id="R8a70211d1cb74ba6"/>
    <x:sheet xmlns:r="http://schemas.openxmlformats.org/officeDocument/2006/relationships" name="Leaderboard" sheetId="2" r:id="Rcd2bac56c1ec48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F3CB45"/>
      <x:name val="Carlito"/>
    </x:font>
    <x:font>
      <x:sz val="10"/>
      <x:color rgb="FF273849"/>
      <x:name val="Carlito"/>
    </x:font>
    <x:font>
      <x:b/>
      <x:sz val="11"/>
      <x:color rgb="FFFFFFFF"/>
      <x:name val="Carlito"/>
    </x:font>
    <x:font>
      <x:sz val="11"/>
      <x:color rgb="FF273849"/>
      <x:name val="Carlito"/>
    </x:font>
    <x:font>
      <x:b/>
      <x:sz val="12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16F"/>
      </x:patternFill>
    </x:fill>
    <x:fill>
      <x:patternFill patternType="solid">
        <x:fgColor rgb="FFF4F7FA"/>
      </x:patternFill>
    </x:fill>
    <x:fill>
      <x:patternFill patternType="solid">
        <x:fgColor rgb="FF173455"/>
      </x:patternFill>
    </x:fill>
    <x:fill>
      <x:patternFill patternType="solid">
        <x:fgColor rgb="FFFFFFFF"/>
      </x:patternFill>
    </x:fill>
    <x:fill>
      <x:patternFill patternType="solid">
        <x:fgColor rgb="FFE9EFF7"/>
      </x:patternFill>
    </x:fill>
    <x:fill>
      <x:patternFill patternType="solid">
        <x:fgColor rgb="FFD5A400"/>
      </x:patternFill>
    </x:fill>
  </x:fills>
  <x:borders count="3">
    <x:border/>
    <x:border>
      <x:left style="thin">
        <x:color rgb="FFC7D1DC"/>
      </x:left>
      <x:right style="thin">
        <x:color rgb="FFC7D1DC"/>
      </x:right>
      <x:top style="thin">
        <x:color rgb="FFC7D1DC"/>
      </x:top>
      <x:bottom style="thin">
        <x:color rgb="FFC7D1DC"/>
      </x:bottom>
    </x:border>
    <x:border>
      <x:left style="thin">
        <x:color rgb="FFD7DEE6"/>
      </x:left>
      <x:right style="thin">
        <x:color rgb="FFD7DEE6"/>
      </x:right>
      <x:top style="thin">
        <x:color rgb="FFD7DEE6"/>
      </x:top>
      <x:bottom style="thin">
        <x:color rgb="FFD7DEE6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2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6" borderId="2" xfId="0" applyNumberFormat="1" applyFont="1" applyFill="1" applyBorder="1" applyAlignment="1">
      <x:alignment vertical="center"/>
    </x:xf>
    <x:xf numFmtId="0" fontId="3" fillId="6" borderId="2" xfId="0" applyNumberFormat="1" applyFont="1" applyFill="1" applyBorder="1" applyAlignment="1">
      <x:alignment horizontal="center" vertical="center"/>
    </x:xf>
    <x:xf numFmtId="200" fontId="3" fillId="6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2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e47900d7d24692" /><Relationship Type="http://schemas.openxmlformats.org/officeDocument/2006/relationships/theme" Target="/xl/theme/theme1.xml" Id="R4df7e4d0b3e04baa" /><Relationship Type="http://schemas.openxmlformats.org/officeDocument/2006/relationships/sharedStrings" Target="/xl/sharedStrings.xml" Id="Rf08433b0f1d94f8b" /><Relationship Type="http://schemas.openxmlformats.org/officeDocument/2006/relationships/worksheet" Target="/xl/worksheets/sheet1.xml" Id="R8a70211d1cb74ba6" /><Relationship Type="http://schemas.openxmlformats.org/officeDocument/2006/relationships/worksheet" Target="/xl/worksheets/sheet2.xml" Id="Rcd2bac56c1ec48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5" hidden="0" customWidth="1"/>
    <x:col min="3" max="3" width="3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" hidden="0" customWidth="1"/>
  </x:cols>
  <x:sheetData>
    <x:row r="1" ht="30" customHeight="1">
      <x:c r="A1" s="4" t="str">
        <x:v>ZIP AHEAD — 2026-28 Student Tracker</x:v>
      </x:c>
      <x:c r="B1" s="4"/>
      <x:c r="C1" s="4"/>
      <x:c r="D1" s="4"/>
      <x:c r="E1" s="4"/>
      <x:c r="F1" s="4"/>
      <x:c r="G1" s="4"/>
      <x:c r="H1" s="4"/>
    </x:row>
    <x:row r="2" ht="22" customHeight="1">
      <x:c r="A2" s="5" t="str">
        <x:v>Each submitted ASCENT answer becomes the student’s next Question column.</x:v>
      </x:c>
      <x:c r="B2" s="5"/>
      <x:c r="C2" s="5"/>
      <x:c r="D2" s="5"/>
      <x:c r="E2" s="5"/>
      <x:c r="F2" s="5"/>
      <x:c r="G2" s="5"/>
      <x:c r="H2" s="5"/>
    </x:row>
    <x:row r="3" ht="22" customHeight="1">
      <x:c r="A3" s="7" t="str">
        <x:v>Question columns are added automatically. Total and average scores remain on the right.</x:v>
      </x:c>
      <x:c r="B3" s="7"/>
      <x:c r="C3" s="7"/>
      <x:c r="D3" s="7"/>
      <x:c r="E3" s="7"/>
      <x:c r="F3" s="7"/>
      <x:c r="G3" s="7"/>
      <x:c r="H3" s="7"/>
    </x:row>
    <x:row r="5" ht="34" customHeight="1">
      <x:c r="A5" s="13" t="str">
        <x:v>Roll Number</x:v>
      </x:c>
      <x:c r="B5" s="13" t="str">
        <x:v>Name</x:v>
      </x:c>
      <x:c r="C5" s="13" t="str">
        <x:v>Email ID</x:v>
      </x:c>
      <x:c r="D5" s="13" t="str">
        <x:v>Mobile Number</x:v>
      </x:c>
      <x:c r="E5" s="13" t="str">
        <x:v>Total Score</x:v>
      </x:c>
      <x:c r="F5" s="13" t="str">
        <x:v>Average Score</x:v>
      </x:c>
      <x:c r="G5" s="13" t="str">
        <x:v>Questions Answered</x:v>
      </x:c>
      <x:c r="H5" s="13" t="str">
        <x:v>Rank Helper</x:v>
      </x:c>
    </x:row>
    <x:row r="6">
      <x:c r="A6" s="21" t="str"/>
      <x:c r="B6" s="17" t="str"/>
      <x:c r="C6" s="17" t="str"/>
      <x:c r="D6" s="17" t="str"/>
      <x:c r="E6" s="20" t="str"/>
      <x:c r="F6" s="20" t="str"/>
      <x:c r="G6" s="19" t="str"/>
      <x:c r="H6" s="18" t="str"/>
    </x:row>
  </x:sheetData>
  <x:mergeCells>
    <x:mergeCell ref="A1:H1"/>
    <x:mergeCell ref="A2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2" t="str">
        <x:v>🏆 ZIP AHEAD — 2026-28 Leaderboard</x:v>
      </x:c>
      <x:c r="B1" s="2"/>
      <x:c r="C1" s="2"/>
      <x:c r="D1" s="2"/>
      <x:c r="E1" s="2"/>
      <x:c r="F1" s="2"/>
    </x:row>
    <x:row r="2">
      <x:c r="A2" s="5" t="str">
        <x:v>Top 10 students by total score across submitted questions</x:v>
      </x:c>
      <x:c r="B2" s="5"/>
      <x:c r="C2" s="5"/>
      <x:c r="D2" s="5"/>
      <x:c r="E2" s="5"/>
      <x:c r="F2" s="5"/>
    </x:row>
    <x:row r="4" ht="34" customHeight="1">
      <x:c r="A4" s="13" t="str">
        <x:v>Rank</x:v>
      </x:c>
      <x:c r="B4" s="13" t="str">
        <x:v>Roll Number</x:v>
      </x:c>
      <x:c r="C4" s="13" t="str">
        <x:v>Name</x:v>
      </x:c>
      <x:c r="D4" s="13" t="str">
        <x:v>Total Score</x:v>
      </x:c>
      <x:c r="E4" s="13" t="str">
        <x:v>Average Score</x:v>
      </x:c>
      <x:c r="F4" s="13" t="str">
        <x:v>Questions Answered</x:v>
      </x:c>
    </x:row>
    <x:row r="5">
      <x:c r="A5" s="28" t="n">
        <x:v>1</x:v>
      </x:c>
      <x:c r="B5" s="25" t="str">
        <x:f>IFERROR(IF(LARGE('Student Tracker'!$H$6:$H$6,1)&lt;=0,"",INDEX('Student Tracker'!$A$6:$A$6,MATCH(LARGE('Student Tracker'!$H$6:$H$6,1),'Student Tracker'!$H$6:$H$6,0))),"")</x:f>
      </x:c>
      <x:c r="C5" s="25" t="str">
        <x:f>IFERROR(IF(LARGE('Student Tracker'!$H$6:$H$6,1)&lt;=0,"",INDEX('Student Tracker'!$B$6:$B$6,MATCH(LARGE('Student Tracker'!$H$6:$H$6,1),'Student Tracker'!$H$6:$H$6,0))),"")</x:f>
      </x:c>
      <x:c r="D5" s="30" t="str">
        <x:f>IFERROR(IF(LARGE('Student Tracker'!$H$6:$H$6,1)&lt;=0,"",INDEX('Student Tracker'!$E$6:$E$6,MATCH(LARGE('Student Tracker'!$H$6:$H$6,1),'Student Tracker'!$H$6:$H$6,0))),"")</x:f>
      </x:c>
      <x:c r="E5" s="30" t="str">
        <x:f>IFERROR(IF(LARGE('Student Tracker'!$H$6:$H$6,1)&lt;=0,"",INDEX('Student Tracker'!$F$6:$F$6,MATCH(LARGE('Student Tracker'!$H$6:$H$6,1),'Student Tracker'!$H$6:$H$6,0))),"")</x:f>
      </x:c>
      <x:c r="F5" s="29" t="str">
        <x:f>IFERROR(IF(LARGE('Student Tracker'!$H$6:$H$6,1)&lt;=0,"",INDEX('Student Tracker'!$G$6:$G$6,MATCH(LARGE('Student Tracker'!$H$6:$H$6,1),'Student Tracker'!$H$6:$H$6,0))),"")</x:f>
      </x:c>
    </x:row>
    <x:row r="6">
      <x:c r="A6" s="28" t="n">
        <x:v>2</x:v>
      </x:c>
      <x:c r="B6" s="25" t="str">
        <x:f>IFERROR(IF(LARGE('Student Tracker'!$H$6:$H$6,2)&lt;=0,"",INDEX('Student Tracker'!$A$6:$A$6,MATCH(LARGE('Student Tracker'!$H$6:$H$6,2),'Student Tracker'!$H$6:$H$6,0))),"")</x:f>
      </x:c>
      <x:c r="C6" s="25" t="str">
        <x:f>IFERROR(IF(LARGE('Student Tracker'!$H$6:$H$6,2)&lt;=0,"",INDEX('Student Tracker'!$B$6:$B$6,MATCH(LARGE('Student Tracker'!$H$6:$H$6,2),'Student Tracker'!$H$6:$H$6,0))),"")</x:f>
      </x:c>
      <x:c r="D6" s="30" t="str">
        <x:f>IFERROR(IF(LARGE('Student Tracker'!$H$6:$H$6,2)&lt;=0,"",INDEX('Student Tracker'!$E$6:$E$6,MATCH(LARGE('Student Tracker'!$H$6:$H$6,2),'Student Tracker'!$H$6:$H$6,0))),"")</x:f>
      </x:c>
      <x:c r="E6" s="30" t="str">
        <x:f>IFERROR(IF(LARGE('Student Tracker'!$H$6:$H$6,2)&lt;=0,"",INDEX('Student Tracker'!$F$6:$F$6,MATCH(LARGE('Student Tracker'!$H$6:$H$6,2),'Student Tracker'!$H$6:$H$6,0))),"")</x:f>
      </x:c>
      <x:c r="F6" s="29" t="str">
        <x:f>IFERROR(IF(LARGE('Student Tracker'!$H$6:$H$6,2)&lt;=0,"",INDEX('Student Tracker'!$G$6:$G$6,MATCH(LARGE('Student Tracker'!$H$6:$H$6,2),'Student Tracker'!$H$6:$H$6,0))),"")</x:f>
      </x:c>
    </x:row>
    <x:row r="7">
      <x:c r="A7" s="28" t="n">
        <x:v>3</x:v>
      </x:c>
      <x:c r="B7" s="25" t="str">
        <x:f>IFERROR(IF(LARGE('Student Tracker'!$H$6:$H$6,3)&lt;=0,"",INDEX('Student Tracker'!$A$6:$A$6,MATCH(LARGE('Student Tracker'!$H$6:$H$6,3),'Student Tracker'!$H$6:$H$6,0))),"")</x:f>
      </x:c>
      <x:c r="C7" s="25" t="str">
        <x:f>IFERROR(IF(LARGE('Student Tracker'!$H$6:$H$6,3)&lt;=0,"",INDEX('Student Tracker'!$B$6:$B$6,MATCH(LARGE('Student Tracker'!$H$6:$H$6,3),'Student Tracker'!$H$6:$H$6,0))),"")</x:f>
      </x:c>
      <x:c r="D7" s="30" t="str">
        <x:f>IFERROR(IF(LARGE('Student Tracker'!$H$6:$H$6,3)&lt;=0,"",INDEX('Student Tracker'!$E$6:$E$6,MATCH(LARGE('Student Tracker'!$H$6:$H$6,3),'Student Tracker'!$H$6:$H$6,0))),"")</x:f>
      </x:c>
      <x:c r="E7" s="30" t="str">
        <x:f>IFERROR(IF(LARGE('Student Tracker'!$H$6:$H$6,3)&lt;=0,"",INDEX('Student Tracker'!$F$6:$F$6,MATCH(LARGE('Student Tracker'!$H$6:$H$6,3),'Student Tracker'!$H$6:$H$6,0))),"")</x:f>
      </x:c>
      <x:c r="F7" s="29" t="str">
        <x:f>IFERROR(IF(LARGE('Student Tracker'!$H$6:$H$6,3)&lt;=0,"",INDEX('Student Tracker'!$G$6:$G$6,MATCH(LARGE('Student Tracker'!$H$6:$H$6,3),'Student Tracker'!$H$6:$H$6,0))),"")</x:f>
      </x:c>
    </x:row>
    <x:row r="8">
      <x:c r="A8" s="28" t="n">
        <x:v>4</x:v>
      </x:c>
      <x:c r="B8" s="25" t="str">
        <x:f>IFERROR(IF(LARGE('Student Tracker'!$H$6:$H$6,4)&lt;=0,"",INDEX('Student Tracker'!$A$6:$A$6,MATCH(LARGE('Student Tracker'!$H$6:$H$6,4),'Student Tracker'!$H$6:$H$6,0))),"")</x:f>
      </x:c>
      <x:c r="C8" s="25" t="str">
        <x:f>IFERROR(IF(LARGE('Student Tracker'!$H$6:$H$6,4)&lt;=0,"",INDEX('Student Tracker'!$B$6:$B$6,MATCH(LARGE('Student Tracker'!$H$6:$H$6,4),'Student Tracker'!$H$6:$H$6,0))),"")</x:f>
      </x:c>
      <x:c r="D8" s="30" t="str">
        <x:f>IFERROR(IF(LARGE('Student Tracker'!$H$6:$H$6,4)&lt;=0,"",INDEX('Student Tracker'!$E$6:$E$6,MATCH(LARGE('Student Tracker'!$H$6:$H$6,4),'Student Tracker'!$H$6:$H$6,0))),"")</x:f>
      </x:c>
      <x:c r="E8" s="30" t="str">
        <x:f>IFERROR(IF(LARGE('Student Tracker'!$H$6:$H$6,4)&lt;=0,"",INDEX('Student Tracker'!$F$6:$F$6,MATCH(LARGE('Student Tracker'!$H$6:$H$6,4),'Student Tracker'!$H$6:$H$6,0))),"")</x:f>
      </x:c>
      <x:c r="F8" s="29" t="str">
        <x:f>IFERROR(IF(LARGE('Student Tracker'!$H$6:$H$6,4)&lt;=0,"",INDEX('Student Tracker'!$G$6:$G$6,MATCH(LARGE('Student Tracker'!$H$6:$H$6,4),'Student Tracker'!$H$6:$H$6,0))),"")</x:f>
      </x:c>
    </x:row>
    <x:row r="9">
      <x:c r="A9" s="28" t="n">
        <x:v>5</x:v>
      </x:c>
      <x:c r="B9" s="25" t="str">
        <x:f>IFERROR(IF(LARGE('Student Tracker'!$H$6:$H$6,5)&lt;=0,"",INDEX('Student Tracker'!$A$6:$A$6,MATCH(LARGE('Student Tracker'!$H$6:$H$6,5),'Student Tracker'!$H$6:$H$6,0))),"")</x:f>
      </x:c>
      <x:c r="C9" s="25" t="str">
        <x:f>IFERROR(IF(LARGE('Student Tracker'!$H$6:$H$6,5)&lt;=0,"",INDEX('Student Tracker'!$B$6:$B$6,MATCH(LARGE('Student Tracker'!$H$6:$H$6,5),'Student Tracker'!$H$6:$H$6,0))),"")</x:f>
      </x:c>
      <x:c r="D9" s="30" t="str">
        <x:f>IFERROR(IF(LARGE('Student Tracker'!$H$6:$H$6,5)&lt;=0,"",INDEX('Student Tracker'!$E$6:$E$6,MATCH(LARGE('Student Tracker'!$H$6:$H$6,5),'Student Tracker'!$H$6:$H$6,0))),"")</x:f>
      </x:c>
      <x:c r="E9" s="30" t="str">
        <x:f>IFERROR(IF(LARGE('Student Tracker'!$H$6:$H$6,5)&lt;=0,"",INDEX('Student Tracker'!$F$6:$F$6,MATCH(LARGE('Student Tracker'!$H$6:$H$6,5),'Student Tracker'!$H$6:$H$6,0))),"")</x:f>
      </x:c>
      <x:c r="F9" s="29" t="str">
        <x:f>IFERROR(IF(LARGE('Student Tracker'!$H$6:$H$6,5)&lt;=0,"",INDEX('Student Tracker'!$G$6:$G$6,MATCH(LARGE('Student Tracker'!$H$6:$H$6,5),'Student Tracker'!$H$6:$H$6,0))),"")</x:f>
      </x:c>
    </x:row>
    <x:row r="10">
      <x:c r="A10" s="28" t="n">
        <x:v>6</x:v>
      </x:c>
      <x:c r="B10" s="25" t="str">
        <x:f>IFERROR(IF(LARGE('Student Tracker'!$H$6:$H$6,6)&lt;=0,"",INDEX('Student Tracker'!$A$6:$A$6,MATCH(LARGE('Student Tracker'!$H$6:$H$6,6),'Student Tracker'!$H$6:$H$6,0))),"")</x:f>
      </x:c>
      <x:c r="C10" s="25" t="str">
        <x:f>IFERROR(IF(LARGE('Student Tracker'!$H$6:$H$6,6)&lt;=0,"",INDEX('Student Tracker'!$B$6:$B$6,MATCH(LARGE('Student Tracker'!$H$6:$H$6,6),'Student Tracker'!$H$6:$H$6,0))),"")</x:f>
      </x:c>
      <x:c r="D10" s="30" t="str">
        <x:f>IFERROR(IF(LARGE('Student Tracker'!$H$6:$H$6,6)&lt;=0,"",INDEX('Student Tracker'!$E$6:$E$6,MATCH(LARGE('Student Tracker'!$H$6:$H$6,6),'Student Tracker'!$H$6:$H$6,0))),"")</x:f>
      </x:c>
      <x:c r="E10" s="30" t="str">
        <x:f>IFERROR(IF(LARGE('Student Tracker'!$H$6:$H$6,6)&lt;=0,"",INDEX('Student Tracker'!$F$6:$F$6,MATCH(LARGE('Student Tracker'!$H$6:$H$6,6),'Student Tracker'!$H$6:$H$6,0))),"")</x:f>
      </x:c>
      <x:c r="F10" s="29" t="str">
        <x:f>IFERROR(IF(LARGE('Student Tracker'!$H$6:$H$6,6)&lt;=0,"",INDEX('Student Tracker'!$G$6:$G$6,MATCH(LARGE('Student Tracker'!$H$6:$H$6,6),'Student Tracker'!$H$6:$H$6,0))),"")</x:f>
      </x:c>
    </x:row>
    <x:row r="11">
      <x:c r="A11" s="28" t="n">
        <x:v>7</x:v>
      </x:c>
      <x:c r="B11" s="25" t="str">
        <x:f>IFERROR(IF(LARGE('Student Tracker'!$H$6:$H$6,7)&lt;=0,"",INDEX('Student Tracker'!$A$6:$A$6,MATCH(LARGE('Student Tracker'!$H$6:$H$6,7),'Student Tracker'!$H$6:$H$6,0))),"")</x:f>
      </x:c>
      <x:c r="C11" s="25" t="str">
        <x:f>IFERROR(IF(LARGE('Student Tracker'!$H$6:$H$6,7)&lt;=0,"",INDEX('Student Tracker'!$B$6:$B$6,MATCH(LARGE('Student Tracker'!$H$6:$H$6,7),'Student Tracker'!$H$6:$H$6,0))),"")</x:f>
      </x:c>
      <x:c r="D11" s="30" t="str">
        <x:f>IFERROR(IF(LARGE('Student Tracker'!$H$6:$H$6,7)&lt;=0,"",INDEX('Student Tracker'!$E$6:$E$6,MATCH(LARGE('Student Tracker'!$H$6:$H$6,7),'Student Tracker'!$H$6:$H$6,0))),"")</x:f>
      </x:c>
      <x:c r="E11" s="30" t="str">
        <x:f>IFERROR(IF(LARGE('Student Tracker'!$H$6:$H$6,7)&lt;=0,"",INDEX('Student Tracker'!$F$6:$F$6,MATCH(LARGE('Student Tracker'!$H$6:$H$6,7),'Student Tracker'!$H$6:$H$6,0))),"")</x:f>
      </x:c>
      <x:c r="F11" s="29" t="str">
        <x:f>IFERROR(IF(LARGE('Student Tracker'!$H$6:$H$6,7)&lt;=0,"",INDEX('Student Tracker'!$G$6:$G$6,MATCH(LARGE('Student Tracker'!$H$6:$H$6,7),'Student Tracker'!$H$6:$H$6,0))),"")</x:f>
      </x:c>
    </x:row>
    <x:row r="12">
      <x:c r="A12" s="28" t="n">
        <x:v>8</x:v>
      </x:c>
      <x:c r="B12" s="25" t="str">
        <x:f>IFERROR(IF(LARGE('Student Tracker'!$H$6:$H$6,8)&lt;=0,"",INDEX('Student Tracker'!$A$6:$A$6,MATCH(LARGE('Student Tracker'!$H$6:$H$6,8),'Student Tracker'!$H$6:$H$6,0))),"")</x:f>
      </x:c>
      <x:c r="C12" s="25" t="str">
        <x:f>IFERROR(IF(LARGE('Student Tracker'!$H$6:$H$6,8)&lt;=0,"",INDEX('Student Tracker'!$B$6:$B$6,MATCH(LARGE('Student Tracker'!$H$6:$H$6,8),'Student Tracker'!$H$6:$H$6,0))),"")</x:f>
      </x:c>
      <x:c r="D12" s="30" t="str">
        <x:f>IFERROR(IF(LARGE('Student Tracker'!$H$6:$H$6,8)&lt;=0,"",INDEX('Student Tracker'!$E$6:$E$6,MATCH(LARGE('Student Tracker'!$H$6:$H$6,8),'Student Tracker'!$H$6:$H$6,0))),"")</x:f>
      </x:c>
      <x:c r="E12" s="30" t="str">
        <x:f>IFERROR(IF(LARGE('Student Tracker'!$H$6:$H$6,8)&lt;=0,"",INDEX('Student Tracker'!$F$6:$F$6,MATCH(LARGE('Student Tracker'!$H$6:$H$6,8),'Student Tracker'!$H$6:$H$6,0))),"")</x:f>
      </x:c>
      <x:c r="F12" s="29" t="str">
        <x:f>IFERROR(IF(LARGE('Student Tracker'!$H$6:$H$6,8)&lt;=0,"",INDEX('Student Tracker'!$G$6:$G$6,MATCH(LARGE('Student Tracker'!$H$6:$H$6,8),'Student Tracker'!$H$6:$H$6,0))),"")</x:f>
      </x:c>
    </x:row>
    <x:row r="13">
      <x:c r="A13" s="28" t="n">
        <x:v>9</x:v>
      </x:c>
      <x:c r="B13" s="25" t="str">
        <x:f>IFERROR(IF(LARGE('Student Tracker'!$H$6:$H$6,9)&lt;=0,"",INDEX('Student Tracker'!$A$6:$A$6,MATCH(LARGE('Student Tracker'!$H$6:$H$6,9),'Student Tracker'!$H$6:$H$6,0))),"")</x:f>
      </x:c>
      <x:c r="C13" s="25" t="str">
        <x:f>IFERROR(IF(LARGE('Student Tracker'!$H$6:$H$6,9)&lt;=0,"",INDEX('Student Tracker'!$B$6:$B$6,MATCH(LARGE('Student Tracker'!$H$6:$H$6,9),'Student Tracker'!$H$6:$H$6,0))),"")</x:f>
      </x:c>
      <x:c r="D13" s="30" t="str">
        <x:f>IFERROR(IF(LARGE('Student Tracker'!$H$6:$H$6,9)&lt;=0,"",INDEX('Student Tracker'!$E$6:$E$6,MATCH(LARGE('Student Tracker'!$H$6:$H$6,9),'Student Tracker'!$H$6:$H$6,0))),"")</x:f>
      </x:c>
      <x:c r="E13" s="30" t="str">
        <x:f>IFERROR(IF(LARGE('Student Tracker'!$H$6:$H$6,9)&lt;=0,"",INDEX('Student Tracker'!$F$6:$F$6,MATCH(LARGE('Student Tracker'!$H$6:$H$6,9),'Student Tracker'!$H$6:$H$6,0))),"")</x:f>
      </x:c>
      <x:c r="F13" s="29" t="str">
        <x:f>IFERROR(IF(LARGE('Student Tracker'!$H$6:$H$6,9)&lt;=0,"",INDEX('Student Tracker'!$G$6:$G$6,MATCH(LARGE('Student Tracker'!$H$6:$H$6,9),'Student Tracker'!$H$6:$H$6,0))),"")</x:f>
      </x:c>
    </x:row>
    <x:row r="14">
      <x:c r="A14" s="28" t="n">
        <x:v>10</x:v>
      </x:c>
      <x:c r="B14" s="25" t="str">
        <x:f>IFERROR(IF(LARGE('Student Tracker'!$H$6:$H$6,10)&lt;=0,"",INDEX('Student Tracker'!$A$6:$A$6,MATCH(LARGE('Student Tracker'!$H$6:$H$6,10),'Student Tracker'!$H$6:$H$6,0))),"")</x:f>
      </x:c>
      <x:c r="C14" s="25" t="str">
        <x:f>IFERROR(IF(LARGE('Student Tracker'!$H$6:$H$6,10)&lt;=0,"",INDEX('Student Tracker'!$B$6:$B$6,MATCH(LARGE('Student Tracker'!$H$6:$H$6,10),'Student Tracker'!$H$6:$H$6,0))),"")</x:f>
      </x:c>
      <x:c r="D14" s="30" t="str">
        <x:f>IFERROR(IF(LARGE('Student Tracker'!$H$6:$H$6,10)&lt;=0,"",INDEX('Student Tracker'!$E$6:$E$6,MATCH(LARGE('Student Tracker'!$H$6:$H$6,10),'Student Tracker'!$H$6:$H$6,0))),"")</x:f>
      </x:c>
      <x:c r="E14" s="30" t="str">
        <x:f>IFERROR(IF(LARGE('Student Tracker'!$H$6:$H$6,10)&lt;=0,"",INDEX('Student Tracker'!$F$6:$F$6,MATCH(LARGE('Student Tracker'!$H$6:$H$6,10),'Student Tracker'!$H$6:$H$6,0))),"")</x:f>
      </x:c>
      <x:c r="F14" s="29" t="str">
        <x:f>IFERROR(IF(LARGE('Student Tracker'!$H$6:$H$6,10)&lt;=0,"",INDEX('Student Tracker'!$G$6:$G$6,MATCH(LARGE('Student Tracker'!$H$6:$H$6,10),'Student Tracker'!$H$6:$H$6,0))),"")</x:f>
      </x:c>
    </x:row>
  </x:sheetData>
  <x:mergeCells>
    <x:mergeCell ref="A1:F1"/>
    <x:mergeCell ref="A2:F2"/>
  </x:mergeCells>
  <x:pageMargins left="0.7" right="0.7" top="0.75" bottom="0.75" header="0.3" footer="0.3"/>
</x:worksheet>
</file>