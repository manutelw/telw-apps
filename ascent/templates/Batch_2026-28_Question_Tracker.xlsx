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4ed923bff84b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 Tracker" sheetId="1" r:id="Ra1fff713079547a0"/>
    <x:sheet xmlns:r="http://schemas.openxmlformats.org/officeDocument/2006/relationships" name="Leaderboard" sheetId="2" r:id="R112983b54d5740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F3CB45"/>
      <x:name val="Carlito"/>
    </x:font>
    <x:font>
      <x:sz val="10"/>
      <x:color rgb="FF273849"/>
      <x:name val="Carlito"/>
    </x:font>
    <x:font>
      <x:b/>
      <x:sz val="11"/>
      <x:color rgb="FFFFFFFF"/>
      <x:name val="Carlito"/>
    </x:font>
    <x:font>
      <x:sz val="11"/>
      <x:color rgb="FF273849"/>
      <x:name val="Carlito"/>
    </x:font>
    <x:font>
      <x:b/>
      <x:sz val="12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16F"/>
      </x:patternFill>
    </x:fill>
    <x:fill>
      <x:patternFill patternType="solid">
        <x:fgColor rgb="FFF4F7FA"/>
      </x:patternFill>
    </x:fill>
    <x:fill>
      <x:patternFill patternType="solid">
        <x:fgColor rgb="FF173455"/>
      </x:patternFill>
    </x:fill>
    <x:fill>
      <x:patternFill patternType="solid">
        <x:fgColor rgb="FFFFFFFF"/>
      </x:patternFill>
    </x:fill>
    <x:fill>
      <x:patternFill patternType="solid">
        <x:fgColor rgb="FFE9EFF7"/>
      </x:patternFill>
    </x:fill>
    <x:fill>
      <x:patternFill patternType="solid">
        <x:fgColor rgb="FFD5A400"/>
      </x:patternFill>
    </x:fill>
  </x:fills>
  <x:borders count="3">
    <x:border/>
    <x:border>
      <x:left style="thin">
        <x:color rgb="FFC7D1DC"/>
      </x:left>
      <x:right style="thin">
        <x:color rgb="FFC7D1DC"/>
      </x:right>
      <x:top style="thin">
        <x:color rgb="FFC7D1DC"/>
      </x:top>
      <x:bottom style="thin">
        <x:color rgb="FFC7D1DC"/>
      </x:bottom>
    </x:border>
    <x:border>
      <x:left style="thin">
        <x:color rgb="FFD7DEE6"/>
      </x:left>
      <x:right style="thin">
        <x:color rgb="FFD7DEE6"/>
      </x:right>
      <x:top style="thin">
        <x:color rgb="FFD7DEE6"/>
      </x:top>
      <x:bottom style="thin">
        <x:color rgb="FFD7DEE6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vertical="center"/>
    </x:xf>
    <x:xf numFmtId="0" fontId="3" fillId="5" borderId="2" xfId="0" applyNumberFormat="1" applyFont="1" applyFill="1" applyBorder="1" applyAlignment="1">
      <x:alignment vertical="center"/>
    </x:xf>
    <x:xf numFmtId="0" fontId="3" fillId="6" borderId="2" xfId="0" applyNumberFormat="1" applyFont="1" applyFill="1" applyBorder="1" applyAlignment="1">
      <x:alignment vertical="center"/>
    </x:xf>
    <x:xf numFmtId="0" fontId="3" fillId="6" borderId="2" xfId="0" applyNumberFormat="1" applyFont="1" applyFill="1" applyBorder="1" applyAlignment="1">
      <x:alignment horizontal="center" vertical="center"/>
    </x:xf>
    <x:xf numFmtId="200" fontId="3" fillId="6" borderId="2" xfId="0" applyNumberFormat="1" applyFont="1" applyFill="1" applyBorder="1" applyAlignment="1">
      <x:alignment horizontal="center" vertical="center"/>
    </x:xf>
    <x:xf numFmtId="0" fontId="3" fillId="5" borderId="2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2" xfId="0" applyNumberFormat="1" applyFont="1" applyFill="1" applyBorder="1" applyAlignment="1">
      <x:alignment vertical="center"/>
    </x:xf>
    <x:xf numFmtId="0" fontId="5" fillId="7" borderId="2" xfId="0" applyNumberFormat="1" applyFont="1" applyFill="1" applyBorder="1" applyAlignment="1">
      <x:alignment vertical="center"/>
    </x:xf>
    <x:xf numFmtId="0" fontId="6" fillId="7" borderId="2" xfId="0" applyNumberFormat="1" applyFont="1" applyFill="1" applyBorder="1" applyAlignment="1">
      <x:alignment vertical="center"/>
    </x:xf>
    <x:xf numFmtId="0" fontId="6" fillId="7" borderId="2" xfId="0" applyNumberFormat="1" applyFont="1" applyFill="1" applyBorder="1" applyAlignment="1">
      <x:alignment horizontal="center" vertical="center"/>
    </x:xf>
    <x:xf numFmtId="0" fontId="5" fillId="5" borderId="2" xfId="0" applyNumberFormat="1" applyFont="1" applyFill="1" applyBorder="1" applyAlignment="1">
      <x:alignment horizontal="center" vertical="center"/>
    </x:xf>
    <x:xf numFmtId="200" fontId="5" fillId="5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7c7c53764a409b" /><Relationship Type="http://schemas.openxmlformats.org/officeDocument/2006/relationships/theme" Target="/xl/theme/theme1.xml" Id="Rbe08921ae666404b" /><Relationship Type="http://schemas.openxmlformats.org/officeDocument/2006/relationships/sharedStrings" Target="/xl/sharedStrings.xml" Id="R2e6906da80004ffd" /><Relationship Type="http://schemas.openxmlformats.org/officeDocument/2006/relationships/worksheet" Target="/xl/worksheets/sheet1.xml" Id="Ra1fff713079547a0" /><Relationship Type="http://schemas.openxmlformats.org/officeDocument/2006/relationships/worksheet" Target="/xl/worksheets/sheet2.xml" Id="R112983b54d5740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5" hidden="0" customWidth="1"/>
    <x:col min="3" max="3" width="3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" hidden="0" customWidth="1"/>
  </x:cols>
  <x:sheetData>
    <x:row r="1" ht="30" customHeight="1">
      <x:c r="A1" s="4" t="str">
        <x:v>ZIP AHEAD — 2026-28 Student Tracker</x:v>
      </x:c>
      <x:c r="B1" s="4"/>
      <x:c r="C1" s="4"/>
      <x:c r="D1" s="4"/>
      <x:c r="E1" s="4"/>
      <x:c r="F1" s="4"/>
      <x:c r="G1" s="4"/>
      <x:c r="H1" s="4"/>
    </x:row>
    <x:row r="2" ht="22" customHeight="1">
      <x:c r="A2" s="5" t="str">
        <x:v>Each submitted ASCENT answer becomes the student’s next Question column.</x:v>
      </x:c>
      <x:c r="B2" s="5"/>
      <x:c r="C2" s="5"/>
      <x:c r="D2" s="5"/>
      <x:c r="E2" s="5"/>
      <x:c r="F2" s="5"/>
      <x:c r="G2" s="5"/>
      <x:c r="H2" s="5"/>
    </x:row>
    <x:row r="3" ht="22" customHeight="1">
      <x:c r="A3" s="7" t="str">
        <x:v>Question columns are added automatically. Total and average scores remain on the right.</x:v>
      </x:c>
      <x:c r="B3" s="7"/>
      <x:c r="C3" s="7"/>
      <x:c r="D3" s="7"/>
      <x:c r="E3" s="7"/>
      <x:c r="F3" s="7"/>
      <x:c r="G3" s="7"/>
      <x:c r="H3" s="7"/>
    </x:row>
    <x:row r="5" ht="34" customHeight="1">
      <x:c r="A5" s="13" t="str">
        <x:v>Roll Number</x:v>
      </x:c>
      <x:c r="B5" s="13" t="str">
        <x:v>Name</x:v>
      </x:c>
      <x:c r="C5" s="13" t="str">
        <x:v>Email ID</x:v>
      </x:c>
      <x:c r="D5" s="13" t="str">
        <x:v>Mobile Number</x:v>
      </x:c>
      <x:c r="E5" s="13" t="str">
        <x:v>Total Score</x:v>
      </x:c>
      <x:c r="F5" s="13" t="str">
        <x:v>Average Score</x:v>
      </x:c>
      <x:c r="G5" s="13" t="str">
        <x:v>Questions Answered</x:v>
      </x:c>
      <x:c r="H5" s="13" t="str">
        <x:v>Rank Helper</x:v>
      </x:c>
    </x:row>
    <x:row r="6">
      <x:c r="A6" s="21" t="str">
        <x:v>26PGDM001</x:v>
      </x:c>
      <x:c r="B6" s="17" t="str">
        <x:v>Aadya Shreysee</x:v>
      </x:c>
      <x:c r="C6" s="17" t="str">
        <x:v>28-Aadya.Shreysee@fiib.edu.in</x:v>
      </x:c>
      <x:c r="D6" s="17" t="str"/>
      <x:c r="E6" s="20" t="n">
        <x:v>0</x:v>
      </x:c>
      <x:c r="F6" s="20" t="n">
        <x:v>0</x:v>
      </x:c>
      <x:c r="G6" s="19" t="n">
        <x:v>0</x:v>
      </x:c>
      <x:c r="H6" s="18" t="n">
        <x:f>IF(E6&gt;0,E6+ROW()/100000,0)</x:f>
        <x:v>0</x:v>
      </x:c>
    </x:row>
    <x:row r="7">
      <x:c r="A7" s="21" t="str">
        <x:v>26PGDM002</x:v>
      </x:c>
      <x:c r="B7" s="17" t="str">
        <x:v>Aditi Lakhotia</x:v>
      </x:c>
      <x:c r="C7" s="17" t="str">
        <x:v>28-aditi.lakhotia@fiib.edu.in</x:v>
      </x:c>
      <x:c r="D7" s="17" t="str"/>
      <x:c r="E7" s="20" t="n">
        <x:v>0</x:v>
      </x:c>
      <x:c r="F7" s="20" t="n">
        <x:v>0</x:v>
      </x:c>
      <x:c r="G7" s="19" t="n">
        <x:v>0</x:v>
      </x:c>
      <x:c r="H7" s="18" t="n">
        <x:f>IF(E7&gt;0,E7+ROW()/100000,0)</x:f>
        <x:v>0</x:v>
      </x:c>
    </x:row>
    <x:row r="8">
      <x:c r="A8" s="21" t="str">
        <x:v>26PGDM003</x:v>
      </x:c>
      <x:c r="B8" s="17" t="str">
        <x:v>Amisha Kumari</x:v>
      </x:c>
      <x:c r="C8" s="17" t="str">
        <x:v>28-Amisha.Kumari@fiib.edu.in</x:v>
      </x:c>
      <x:c r="D8" s="17" t="str">
        <x:v>90059 94838</x:v>
      </x:c>
      <x:c r="E8" s="20" t="n">
        <x:v>0</x:v>
      </x:c>
      <x:c r="F8" s="20" t="n">
        <x:v>0</x:v>
      </x:c>
      <x:c r="G8" s="19" t="n">
        <x:v>0</x:v>
      </x:c>
      <x:c r="H8" s="18" t="n">
        <x:f>IF(E8&gt;0,E8+ROW()/100000,0)</x:f>
        <x:v>0</x:v>
      </x:c>
    </x:row>
    <x:row r="9">
      <x:c r="A9" s="21" t="str">
        <x:v>26PGDM004</x:v>
      </x:c>
      <x:c r="B9" s="17" t="str">
        <x:v>Anandita Parihar</x:v>
      </x:c>
      <x:c r="C9" s="17" t="str">
        <x:v>28-Anandita.Parihar@fiib.edu.in</x:v>
      </x:c>
      <x:c r="D9" s="17" t="str"/>
      <x:c r="E9" s="20" t="n">
        <x:v>0</x:v>
      </x:c>
      <x:c r="F9" s="20" t="n">
        <x:v>0</x:v>
      </x:c>
      <x:c r="G9" s="19" t="n">
        <x:v>0</x:v>
      </x:c>
      <x:c r="H9" s="18" t="n">
        <x:f>IF(E9&gt;0,E9+ROW()/100000,0)</x:f>
        <x:v>0</x:v>
      </x:c>
    </x:row>
    <x:row r="10">
      <x:c r="A10" s="21" t="str">
        <x:v>26PGDM005</x:v>
      </x:c>
      <x:c r="B10" s="17" t="str">
        <x:v>Aniket Sinha</x:v>
      </x:c>
      <x:c r="C10" s="17" t="str">
        <x:v>28-aniket.sinha@fiib.edu.in</x:v>
      </x:c>
      <x:c r="D10" s="17" t="str"/>
      <x:c r="E10" s="20" t="n">
        <x:v>0</x:v>
      </x:c>
      <x:c r="F10" s="20" t="n">
        <x:v>0</x:v>
      </x:c>
      <x:c r="G10" s="19" t="n">
        <x:v>0</x:v>
      </x:c>
      <x:c r="H10" s="18" t="n">
        <x:f>IF(E10&gt;0,E10+ROW()/100000,0)</x:f>
        <x:v>0</x:v>
      </x:c>
    </x:row>
    <x:row r="11">
      <x:c r="A11" s="21" t="str">
        <x:v>26PGDM006</x:v>
      </x:c>
      <x:c r="B11" s="17" t="str">
        <x:v>Anjali Tiwari</x:v>
      </x:c>
      <x:c r="C11" s="17" t="str">
        <x:v>28-Anjali.Tiwari@fiib.edu.in</x:v>
      </x:c>
      <x:c r="D11" s="17" t="str"/>
      <x:c r="E11" s="20" t="n">
        <x:v>0</x:v>
      </x:c>
      <x:c r="F11" s="20" t="n">
        <x:v>0</x:v>
      </x:c>
      <x:c r="G11" s="19" t="n">
        <x:v>0</x:v>
      </x:c>
      <x:c r="H11" s="18" t="n">
        <x:f>IF(E11&gt;0,E11+ROW()/100000,0)</x:f>
        <x:v>0</x:v>
      </x:c>
    </x:row>
    <x:row r="12">
      <x:c r="A12" s="21" t="str">
        <x:v>26PGDM007</x:v>
      </x:c>
      <x:c r="B12" s="17" t="str">
        <x:v>Anushka Singh</x:v>
      </x:c>
      <x:c r="C12" s="17" t="str">
        <x:v>28-Anushka.Singh@fiib.edu.in</x:v>
      </x:c>
      <x:c r="D12" s="17" t="str"/>
      <x:c r="E12" s="20" t="n">
        <x:v>0</x:v>
      </x:c>
      <x:c r="F12" s="20" t="n">
        <x:v>0</x:v>
      </x:c>
      <x:c r="G12" s="19" t="n">
        <x:v>0</x:v>
      </x:c>
      <x:c r="H12" s="18" t="n">
        <x:f>IF(E12&gt;0,E12+ROW()/100000,0)</x:f>
        <x:v>0</x:v>
      </x:c>
    </x:row>
    <x:row r="13">
      <x:c r="A13" s="21" t="str">
        <x:v>26PGDM008</x:v>
      </x:c>
      <x:c r="B13" s="17" t="str">
        <x:v>Anushka Tiwari</x:v>
      </x:c>
      <x:c r="C13" s="17" t="str">
        <x:v>28-Anushka.Tiwari@fiib.edu.in</x:v>
      </x:c>
      <x:c r="D13" s="17" t="str"/>
      <x:c r="E13" s="20" t="n">
        <x:v>0</x:v>
      </x:c>
      <x:c r="F13" s="20" t="n">
        <x:v>0</x:v>
      </x:c>
      <x:c r="G13" s="19" t="n">
        <x:v>0</x:v>
      </x:c>
      <x:c r="H13" s="18" t="n">
        <x:f>IF(E13&gt;0,E13+ROW()/100000,0)</x:f>
        <x:v>0</x:v>
      </x:c>
    </x:row>
    <x:row r="14">
      <x:c r="A14" s="21" t="str">
        <x:v>26PGDM009</x:v>
      </x:c>
      <x:c r="B14" s="17" t="str">
        <x:v>Arshalan Noor</x:v>
      </x:c>
      <x:c r="C14" s="17" t="str">
        <x:v>28-arshalan.noor@fiib.edu.in</x:v>
      </x:c>
      <x:c r="D14" s="17" t="str"/>
      <x:c r="E14" s="20" t="n">
        <x:v>0</x:v>
      </x:c>
      <x:c r="F14" s="20" t="n">
        <x:v>0</x:v>
      </x:c>
      <x:c r="G14" s="19" t="n">
        <x:v>0</x:v>
      </x:c>
      <x:c r="H14" s="18" t="n">
        <x:f>IF(E14&gt;0,E14+ROW()/100000,0)</x:f>
        <x:v>0</x:v>
      </x:c>
    </x:row>
    <x:row r="15">
      <x:c r="A15" s="21" t="str">
        <x:v>26PGDM010</x:v>
      </x:c>
      <x:c r="B15" s="17" t="str">
        <x:v>Chandan Pant</x:v>
      </x:c>
      <x:c r="C15" s="17" t="str">
        <x:v>28-Chandan.Pant@fiib.edu.in</x:v>
      </x:c>
      <x:c r="D15" s="17" t="str"/>
      <x:c r="E15" s="20" t="n">
        <x:v>0</x:v>
      </x:c>
      <x:c r="F15" s="20" t="n">
        <x:v>0</x:v>
      </x:c>
      <x:c r="G15" s="19" t="n">
        <x:v>0</x:v>
      </x:c>
      <x:c r="H15" s="18" t="n">
        <x:f>IF(E15&gt;0,E15+ROW()/100000,0)</x:f>
        <x:v>0</x:v>
      </x:c>
    </x:row>
    <x:row r="16">
      <x:c r="A16" s="21" t="str">
        <x:v>26PGDM011</x:v>
      </x:c>
      <x:c r="B16" s="17" t="str">
        <x:v>Dherya Mittal</x:v>
      </x:c>
      <x:c r="C16" s="17" t="str">
        <x:v>28-Dherya.Mittal@fiib.edu.in</x:v>
      </x:c>
      <x:c r="D16" s="17" t="str"/>
      <x:c r="E16" s="20" t="n">
        <x:v>0</x:v>
      </x:c>
      <x:c r="F16" s="20" t="n">
        <x:v>0</x:v>
      </x:c>
      <x:c r="G16" s="19" t="n">
        <x:v>0</x:v>
      </x:c>
      <x:c r="H16" s="18" t="n">
        <x:f>IF(E16&gt;0,E16+ROW()/100000,0)</x:f>
        <x:v>0</x:v>
      </x:c>
    </x:row>
    <x:row r="17">
      <x:c r="A17" s="21" t="str">
        <x:v>26PGDM012</x:v>
      </x:c>
      <x:c r="B17" s="17" t="str">
        <x:v>Ekta Singh</x:v>
      </x:c>
      <x:c r="C17" s="17" t="str">
        <x:v>28-Ekta.Singh@fiib.edu.in</x:v>
      </x:c>
      <x:c r="D17" s="17" t="str"/>
      <x:c r="E17" s="20" t="n">
        <x:v>0</x:v>
      </x:c>
      <x:c r="F17" s="20" t="n">
        <x:v>0</x:v>
      </x:c>
      <x:c r="G17" s="19" t="n">
        <x:v>0</x:v>
      </x:c>
      <x:c r="H17" s="18" t="n">
        <x:f>IF(E17&gt;0,E17+ROW()/100000,0)</x:f>
        <x:v>0</x:v>
      </x:c>
    </x:row>
    <x:row r="18">
      <x:c r="A18" s="21" t="str">
        <x:v>26PGDM013</x:v>
      </x:c>
      <x:c r="B18" s="17" t="str">
        <x:v>Farheen Khan</x:v>
      </x:c>
      <x:c r="C18" s="17" t="str">
        <x:v>28-Farheen.Khan@fiib.edu.in</x:v>
      </x:c>
      <x:c r="D18" s="17" t="str">
        <x:v>93999 95750</x:v>
      </x:c>
      <x:c r="E18" s="20" t="n">
        <x:v>0</x:v>
      </x:c>
      <x:c r="F18" s="20" t="n">
        <x:v>0</x:v>
      </x:c>
      <x:c r="G18" s="19" t="n">
        <x:v>0</x:v>
      </x:c>
      <x:c r="H18" s="18" t="n">
        <x:f>IF(E18&gt;0,E18+ROW()/100000,0)</x:f>
        <x:v>0</x:v>
      </x:c>
    </x:row>
    <x:row r="19">
      <x:c r="A19" s="21" t="str">
        <x:v>26PGDM014</x:v>
      </x:c>
      <x:c r="B19" s="17" t="str">
        <x:v>Jaideep Singh Kalra</x:v>
      </x:c>
      <x:c r="C19" s="17" t="str">
        <x:v>28-Jaideep.Kalra@fiib.edu.in</x:v>
      </x:c>
      <x:c r="D19" s="17" t="str"/>
      <x:c r="E19" s="20" t="n">
        <x:v>0</x:v>
      </x:c>
      <x:c r="F19" s="20" t="n">
        <x:v>0</x:v>
      </x:c>
      <x:c r="G19" s="19" t="n">
        <x:v>0</x:v>
      </x:c>
      <x:c r="H19" s="18" t="n">
        <x:f>IF(E19&gt;0,E19+ROW()/100000,0)</x:f>
        <x:v>0</x:v>
      </x:c>
    </x:row>
    <x:row r="20">
      <x:c r="A20" s="21" t="str">
        <x:v>26PGDM015</x:v>
      </x:c>
      <x:c r="B20" s="17" t="str">
        <x:v>Joy Mann</x:v>
      </x:c>
      <x:c r="C20" s="17" t="str">
        <x:v>28-Joy.Mann@fiib.edu.in</x:v>
      </x:c>
      <x:c r="D20" s="17" t="str"/>
      <x:c r="E20" s="20" t="n">
        <x:v>0</x:v>
      </x:c>
      <x:c r="F20" s="20" t="n">
        <x:v>0</x:v>
      </x:c>
      <x:c r="G20" s="19" t="n">
        <x:v>0</x:v>
      </x:c>
      <x:c r="H20" s="18" t="n">
        <x:f>IF(E20&gt;0,E20+ROW()/100000,0)</x:f>
        <x:v>0</x:v>
      </x:c>
    </x:row>
    <x:row r="21">
      <x:c r="A21" s="21" t="str">
        <x:v>26PGDM016</x:v>
      </x:c>
      <x:c r="B21" s="17" t="str">
        <x:v>Khushi Gupta</x:v>
      </x:c>
      <x:c r="C21" s="17" t="str">
        <x:v>28-Khushi.Gupta@fiib.edu.in</x:v>
      </x:c>
      <x:c r="D21" s="17" t="str"/>
      <x:c r="E21" s="20" t="n">
        <x:v>0</x:v>
      </x:c>
      <x:c r="F21" s="20" t="n">
        <x:v>0</x:v>
      </x:c>
      <x:c r="G21" s="19" t="n">
        <x:v>0</x:v>
      </x:c>
      <x:c r="H21" s="18" t="n">
        <x:f>IF(E21&gt;0,E21+ROW()/100000,0)</x:f>
        <x:v>0</x:v>
      </x:c>
    </x:row>
    <x:row r="22">
      <x:c r="A22" s="21" t="str">
        <x:v>26PGDM017</x:v>
      </x:c>
      <x:c r="B22" s="17" t="str">
        <x:v>Khushi Kumari</x:v>
      </x:c>
      <x:c r="C22" s="17" t="str">
        <x:v>28-Khushi.Kumari@fiib.edu.in</x:v>
      </x:c>
      <x:c r="D22" s="17" t="str"/>
      <x:c r="E22" s="20" t="n">
        <x:v>0</x:v>
      </x:c>
      <x:c r="F22" s="20" t="n">
        <x:v>0</x:v>
      </x:c>
      <x:c r="G22" s="19" t="n">
        <x:v>0</x:v>
      </x:c>
      <x:c r="H22" s="18" t="n">
        <x:f>IF(E22&gt;0,E22+ROW()/100000,0)</x:f>
        <x:v>0</x:v>
      </x:c>
    </x:row>
    <x:row r="23">
      <x:c r="A23" s="21" t="str">
        <x:v>26PGDM018</x:v>
      </x:c>
      <x:c r="B23" s="17" t="str">
        <x:v>Laiba Arzoo</x:v>
      </x:c>
      <x:c r="C23" s="17" t="str">
        <x:v>28-laiba.arzoo@fiib.edu.in</x:v>
      </x:c>
      <x:c r="D23" s="17" t="str">
        <x:v>99718 69252</x:v>
      </x:c>
      <x:c r="E23" s="20" t="n">
        <x:v>0</x:v>
      </x:c>
      <x:c r="F23" s="20" t="n">
        <x:v>0</x:v>
      </x:c>
      <x:c r="G23" s="19" t="n">
        <x:v>0</x:v>
      </x:c>
      <x:c r="H23" s="18" t="n">
        <x:f>IF(E23&gt;0,E23+ROW()/100000,0)</x:f>
        <x:v>0</x:v>
      </x:c>
    </x:row>
    <x:row r="24">
      <x:c r="A24" s="21" t="str">
        <x:v>26PGDM019</x:v>
      </x:c>
      <x:c r="B24" s="17" t="str">
        <x:v>Lakshya Antil</x:v>
      </x:c>
      <x:c r="C24" s="17" t="str">
        <x:v>28-lakshya.antil@fiib.edu.in</x:v>
      </x:c>
      <x:c r="D24" s="17" t="str"/>
      <x:c r="E24" s="20" t="n">
        <x:v>0</x:v>
      </x:c>
      <x:c r="F24" s="20" t="n">
        <x:v>0</x:v>
      </x:c>
      <x:c r="G24" s="19" t="n">
        <x:v>0</x:v>
      </x:c>
      <x:c r="H24" s="18" t="n">
        <x:f>IF(E24&gt;0,E24+ROW()/100000,0)</x:f>
        <x:v>0</x:v>
      </x:c>
    </x:row>
    <x:row r="25">
      <x:c r="A25" s="21" t="str">
        <x:v>26PGDM020</x:v>
      </x:c>
      <x:c r="B25" s="17" t="str">
        <x:v>Lakshya Seth</x:v>
      </x:c>
      <x:c r="C25" s="17" t="str">
        <x:v>28-lakshya.seth@fiib.edu.in</x:v>
      </x:c>
      <x:c r="D25" s="17" t="str"/>
      <x:c r="E25" s="20" t="n">
        <x:v>0</x:v>
      </x:c>
      <x:c r="F25" s="20" t="n">
        <x:v>0</x:v>
      </x:c>
      <x:c r="G25" s="19" t="n">
        <x:v>0</x:v>
      </x:c>
      <x:c r="H25" s="18" t="n">
        <x:f>IF(E25&gt;0,E25+ROW()/100000,0)</x:f>
        <x:v>0</x:v>
      </x:c>
    </x:row>
    <x:row r="26">
      <x:c r="A26" s="21" t="str">
        <x:v>26PGDM021</x:v>
      </x:c>
      <x:c r="B26" s="17" t="str">
        <x:v>Leena Tamulcar</x:v>
      </x:c>
      <x:c r="C26" s="17" t="str">
        <x:v>28-Leena.Tamulcar@fiib.edu.in</x:v>
      </x:c>
      <x:c r="D26" s="17" t="str"/>
      <x:c r="E26" s="20" t="n">
        <x:v>0</x:v>
      </x:c>
      <x:c r="F26" s="20" t="n">
        <x:v>0</x:v>
      </x:c>
      <x:c r="G26" s="19" t="n">
        <x:v>0</x:v>
      </x:c>
      <x:c r="H26" s="18" t="n">
        <x:f>IF(E26&gt;0,E26+ROW()/100000,0)</x:f>
        <x:v>0</x:v>
      </x:c>
    </x:row>
    <x:row r="27">
      <x:c r="A27" s="21" t="str">
        <x:v>26PGDM022</x:v>
      </x:c>
      <x:c r="B27" s="17" t="str">
        <x:v>Madhav Arora</x:v>
      </x:c>
      <x:c r="C27" s="17" t="str">
        <x:v>28-Madhav.Arora@fiib.edu.in</x:v>
      </x:c>
      <x:c r="D27" s="17" t="str"/>
      <x:c r="E27" s="20" t="n">
        <x:v>0</x:v>
      </x:c>
      <x:c r="F27" s="20" t="n">
        <x:v>0</x:v>
      </x:c>
      <x:c r="G27" s="19" t="n">
        <x:v>0</x:v>
      </x:c>
      <x:c r="H27" s="18" t="n">
        <x:f>IF(E27&gt;0,E27+ROW()/100000,0)</x:f>
        <x:v>0</x:v>
      </x:c>
    </x:row>
    <x:row r="28">
      <x:c r="A28" s="21" t="str">
        <x:v>26PGDM023</x:v>
      </x:c>
      <x:c r="B28" s="17" t="str">
        <x:v>Manuj Dhiman</x:v>
      </x:c>
      <x:c r="C28" s="17" t="str">
        <x:v>28-Manuj.Dhiman@fiib.edu.in</x:v>
      </x:c>
      <x:c r="D28" s="17" t="str"/>
      <x:c r="E28" s="20" t="n">
        <x:v>0</x:v>
      </x:c>
      <x:c r="F28" s="20" t="n">
        <x:v>0</x:v>
      </x:c>
      <x:c r="G28" s="19" t="n">
        <x:v>0</x:v>
      </x:c>
      <x:c r="H28" s="18" t="n">
        <x:f>IF(E28&gt;0,E28+ROW()/100000,0)</x:f>
        <x:v>0</x:v>
      </x:c>
    </x:row>
    <x:row r="29">
      <x:c r="A29" s="21" t="str">
        <x:v>26PGDM024</x:v>
      </x:c>
      <x:c r="B29" s="17" t="str">
        <x:v>Manvi Jain</x:v>
      </x:c>
      <x:c r="C29" s="17" t="str">
        <x:v>28-Manvi.Jain@fiib.edu.in</x:v>
      </x:c>
      <x:c r="D29" s="17" t="str"/>
      <x:c r="E29" s="20" t="n">
        <x:v>0</x:v>
      </x:c>
      <x:c r="F29" s="20" t="n">
        <x:v>0</x:v>
      </x:c>
      <x:c r="G29" s="19" t="n">
        <x:v>0</x:v>
      </x:c>
      <x:c r="H29" s="18" t="n">
        <x:f>IF(E29&gt;0,E29+ROW()/100000,0)</x:f>
        <x:v>0</x:v>
      </x:c>
    </x:row>
    <x:row r="30">
      <x:c r="A30" s="21" t="str">
        <x:v>26PGDM025</x:v>
      </x:c>
      <x:c r="B30" s="17" t="str">
        <x:v>Neha Vishwakarma</x:v>
      </x:c>
      <x:c r="C30" s="17" t="str">
        <x:v>28-Neha.Vishwakarma@fiib.edu.in</x:v>
      </x:c>
      <x:c r="D30" s="17" t="str">
        <x:v>99273 93418</x:v>
      </x:c>
      <x:c r="E30" s="20" t="n">
        <x:v>0</x:v>
      </x:c>
      <x:c r="F30" s="20" t="n">
        <x:v>0</x:v>
      </x:c>
      <x:c r="G30" s="19" t="n">
        <x:v>0</x:v>
      </x:c>
      <x:c r="H30" s="18" t="n">
        <x:f>IF(E30&gt;0,E30+ROW()/100000,0)</x:f>
        <x:v>0</x:v>
      </x:c>
    </x:row>
    <x:row r="31">
      <x:c r="A31" s="21" t="str">
        <x:v>26PGDM026</x:v>
      </x:c>
      <x:c r="B31" s="17" t="str">
        <x:v>Rajat Dargar</x:v>
      </x:c>
      <x:c r="C31" s="17" t="str">
        <x:v>28-Rajat.Dargar@fiib.edu.in</x:v>
      </x:c>
      <x:c r="D31" s="17" t="str">
        <x:v>88265 76069</x:v>
      </x:c>
      <x:c r="E31" s="20" t="n">
        <x:v>0</x:v>
      </x:c>
      <x:c r="F31" s="20" t="n">
        <x:v>0</x:v>
      </x:c>
      <x:c r="G31" s="19" t="n">
        <x:v>0</x:v>
      </x:c>
      <x:c r="H31" s="18" t="n">
        <x:f>IF(E31&gt;0,E31+ROW()/100000,0)</x:f>
        <x:v>0</x:v>
      </x:c>
    </x:row>
    <x:row r="32">
      <x:c r="A32" s="21" t="str">
        <x:v>26PGDM027</x:v>
      </x:c>
      <x:c r="B32" s="17" t="str">
        <x:v>Rudransh Tewari</x:v>
      </x:c>
      <x:c r="C32" s="17" t="str">
        <x:v>28-Rudransh.Tewari@fiib.edu.in</x:v>
      </x:c>
      <x:c r="D32" s="17" t="str">
        <x:v>95280 73195</x:v>
      </x:c>
      <x:c r="E32" s="20" t="n">
        <x:v>0</x:v>
      </x:c>
      <x:c r="F32" s="20" t="n">
        <x:v>0</x:v>
      </x:c>
      <x:c r="G32" s="19" t="n">
        <x:v>0</x:v>
      </x:c>
      <x:c r="H32" s="18" t="n">
        <x:f>IF(E32&gt;0,E32+ROW()/100000,0)</x:f>
        <x:v>0</x:v>
      </x:c>
    </x:row>
    <x:row r="33">
      <x:c r="A33" s="21" t="str">
        <x:v>26PGDM028</x:v>
      </x:c>
      <x:c r="B33" s="17" t="str">
        <x:v>Samir Wadhawan</x:v>
      </x:c>
      <x:c r="C33" s="17" t="str">
        <x:v>28-Samir.Wadhawan@fiib.edu.in</x:v>
      </x:c>
      <x:c r="D33" s="17" t="str"/>
      <x:c r="E33" s="20" t="n">
        <x:v>0</x:v>
      </x:c>
      <x:c r="F33" s="20" t="n">
        <x:v>0</x:v>
      </x:c>
      <x:c r="G33" s="19" t="n">
        <x:v>0</x:v>
      </x:c>
      <x:c r="H33" s="18" t="n">
        <x:f>IF(E33&gt;0,E33+ROW()/100000,0)</x:f>
        <x:v>0</x:v>
      </x:c>
    </x:row>
    <x:row r="34">
      <x:c r="A34" s="21" t="str">
        <x:v>26PGDM029</x:v>
      </x:c>
      <x:c r="B34" s="17" t="str">
        <x:v>Shriya Srivastava</x:v>
      </x:c>
      <x:c r="C34" s="17" t="str">
        <x:v>28-Shriya.Srivastava@fiib.edu.in</x:v>
      </x:c>
      <x:c r="D34" s="17" t="str">
        <x:v>93051 28823</x:v>
      </x:c>
      <x:c r="E34" s="20" t="n">
        <x:v>0</x:v>
      </x:c>
      <x:c r="F34" s="20" t="n">
        <x:v>0</x:v>
      </x:c>
      <x:c r="G34" s="19" t="n">
        <x:v>0</x:v>
      </x:c>
      <x:c r="H34" s="18" t="n">
        <x:f>IF(E34&gt;0,E34+ROW()/100000,0)</x:f>
        <x:v>0</x:v>
      </x:c>
    </x:row>
    <x:row r="35">
      <x:c r="A35" s="21" t="str">
        <x:v>26PGDM030</x:v>
      </x:c>
      <x:c r="B35" s="17" t="str">
        <x:v>Somaina Narzary</x:v>
      </x:c>
      <x:c r="C35" s="17" t="str">
        <x:v>28-Somaina.Narzary@fiib.edu.in</x:v>
      </x:c>
      <x:c r="D35" s="17" t="str"/>
      <x:c r="E35" s="20" t="n">
        <x:v>0</x:v>
      </x:c>
      <x:c r="F35" s="20" t="n">
        <x:v>0</x:v>
      </x:c>
      <x:c r="G35" s="19" t="n">
        <x:v>0</x:v>
      </x:c>
      <x:c r="H35" s="18" t="n">
        <x:f>IF(E35&gt;0,E35+ROW()/100000,0)</x:f>
        <x:v>0</x:v>
      </x:c>
    </x:row>
    <x:row r="36">
      <x:c r="A36" s="21" t="str">
        <x:v>26PGDM031</x:v>
      </x:c>
      <x:c r="B36" s="17" t="str">
        <x:v>Sunny Kumar</x:v>
      </x:c>
      <x:c r="C36" s="17" t="str">
        <x:v>28-sunny.kumar@fiib.edu.in</x:v>
      </x:c>
      <x:c r="D36" s="17" t="str"/>
      <x:c r="E36" s="20" t="n">
        <x:v>0</x:v>
      </x:c>
      <x:c r="F36" s="20" t="n">
        <x:v>0</x:v>
      </x:c>
      <x:c r="G36" s="19" t="n">
        <x:v>0</x:v>
      </x:c>
      <x:c r="H36" s="18" t="n">
        <x:f>IF(E36&gt;0,E36+ROW()/100000,0)</x:f>
        <x:v>0</x:v>
      </x:c>
    </x:row>
    <x:row r="37">
      <x:c r="A37" s="21" t="str">
        <x:v>26PGDM032</x:v>
      </x:c>
      <x:c r="B37" s="17" t="str">
        <x:v>Swetank Singh</x:v>
      </x:c>
      <x:c r="C37" s="17" t="str">
        <x:v>28-Swetank.Singh@fiib.edu.in</x:v>
      </x:c>
      <x:c r="D37" s="17" t="str"/>
      <x:c r="E37" s="20" t="n">
        <x:v>0</x:v>
      </x:c>
      <x:c r="F37" s="20" t="n">
        <x:v>0</x:v>
      </x:c>
      <x:c r="G37" s="19" t="n">
        <x:v>0</x:v>
      </x:c>
      <x:c r="H37" s="18" t="n">
        <x:f>IF(E37&gt;0,E37+ROW()/100000,0)</x:f>
        <x:v>0</x:v>
      </x:c>
    </x:row>
    <x:row r="38">
      <x:c r="A38" s="21" t="str">
        <x:v>26PGDM033</x:v>
      </x:c>
      <x:c r="B38" s="17" t="str">
        <x:v>Tanya Chauhan</x:v>
      </x:c>
      <x:c r="C38" s="17" t="str">
        <x:v>28-Tanya.Chauhan@fiib.edu.in</x:v>
      </x:c>
      <x:c r="D38" s="17" t="str"/>
      <x:c r="E38" s="20" t="n">
        <x:v>0</x:v>
      </x:c>
      <x:c r="F38" s="20" t="n">
        <x:v>0</x:v>
      </x:c>
      <x:c r="G38" s="19" t="n">
        <x:v>0</x:v>
      </x:c>
      <x:c r="H38" s="18" t="n">
        <x:f>IF(E38&gt;0,E38+ROW()/100000,0)</x:f>
        <x:v>0</x:v>
      </x:c>
    </x:row>
    <x:row r="39">
      <x:c r="A39" s="21" t="str">
        <x:v>26PGDM034</x:v>
      </x:c>
      <x:c r="B39" s="17" t="str">
        <x:v>Utkarsh Singh</x:v>
      </x:c>
      <x:c r="C39" s="17" t="str">
        <x:v>28-Utkarsh.Singh@fiib.edu.in</x:v>
      </x:c>
      <x:c r="D39" s="17" t="str"/>
      <x:c r="E39" s="20" t="n">
        <x:v>0</x:v>
      </x:c>
      <x:c r="F39" s="20" t="n">
        <x:v>0</x:v>
      </x:c>
      <x:c r="G39" s="19" t="n">
        <x:v>0</x:v>
      </x:c>
      <x:c r="H39" s="18" t="n">
        <x:f>IF(E39&gt;0,E39+ROW()/100000,0)</x:f>
        <x:v>0</x:v>
      </x:c>
    </x:row>
    <x:row r="40">
      <x:c r="A40" s="21" t="str">
        <x:v>26PGDM035</x:v>
      </x:c>
      <x:c r="B40" s="17" t="str">
        <x:v>Vaidehi Singh</x:v>
      </x:c>
      <x:c r="C40" s="17" t="str">
        <x:v>28-Vaidehi.Singh@fiib.edu.in</x:v>
      </x:c>
      <x:c r="D40" s="17" t="str"/>
      <x:c r="E40" s="20" t="n">
        <x:v>0</x:v>
      </x:c>
      <x:c r="F40" s="20" t="n">
        <x:v>0</x:v>
      </x:c>
      <x:c r="G40" s="19" t="n">
        <x:v>0</x:v>
      </x:c>
      <x:c r="H40" s="18" t="n">
        <x:f>IF(E40&gt;0,E40+ROW()/100000,0)</x:f>
        <x:v>0</x:v>
      </x:c>
    </x:row>
    <x:row r="41">
      <x:c r="A41" s="21" t="str">
        <x:v>26PGDM036</x:v>
      </x:c>
      <x:c r="B41" s="17" t="str">
        <x:v>Vatsal Nair</x:v>
      </x:c>
      <x:c r="C41" s="17" t="str">
        <x:v>28-Vatsal.Nair@fiib.edu.in</x:v>
      </x:c>
      <x:c r="D41" s="17" t="str"/>
      <x:c r="E41" s="20" t="n">
        <x:v>0</x:v>
      </x:c>
      <x:c r="F41" s="20" t="n">
        <x:v>0</x:v>
      </x:c>
      <x:c r="G41" s="19" t="n">
        <x:v>0</x:v>
      </x:c>
      <x:c r="H41" s="18" t="n">
        <x:f>IF(E41&gt;0,E41+ROW()/100000,0)</x:f>
        <x:v>0</x:v>
      </x:c>
    </x:row>
    <x:row r="42">
      <x:c r="A42" s="21" t="str">
        <x:v>26PGDM061</x:v>
      </x:c>
      <x:c r="B42" s="17" t="str">
        <x:v>Abhinav Sharma</x:v>
      </x:c>
      <x:c r="C42" s="17" t="str">
        <x:v>28-Abhinav.Sharma@fiib.edu.in</x:v>
      </x:c>
      <x:c r="D42" s="17" t="str"/>
      <x:c r="E42" s="20" t="n">
        <x:v>0</x:v>
      </x:c>
      <x:c r="F42" s="20" t="n">
        <x:v>0</x:v>
      </x:c>
      <x:c r="G42" s="19" t="n">
        <x:v>0</x:v>
      </x:c>
      <x:c r="H42" s="18" t="n">
        <x:f>IF(E42&gt;0,E42+ROW()/100000,0)</x:f>
        <x:v>0</x:v>
      </x:c>
    </x:row>
    <x:row r="43">
      <x:c r="A43" s="21" t="str">
        <x:v>26PGDM062</x:v>
      </x:c>
      <x:c r="B43" s="17" t="str">
        <x:v>Abhinav Sharma</x:v>
      </x:c>
      <x:c r="C43" s="17" t="str">
        <x:v>28-abhinav.sharma1@fiib.edu.in</x:v>
      </x:c>
      <x:c r="D43" s="17" t="str"/>
      <x:c r="E43" s="20" t="n">
        <x:v>0</x:v>
      </x:c>
      <x:c r="F43" s="20" t="n">
        <x:v>0</x:v>
      </x:c>
      <x:c r="G43" s="19" t="n">
        <x:v>0</x:v>
      </x:c>
      <x:c r="H43" s="18" t="n">
        <x:f>IF(E43&gt;0,E43+ROW()/100000,0)</x:f>
        <x:v>0</x:v>
      </x:c>
    </x:row>
    <x:row r="44">
      <x:c r="A44" s="21" t="str">
        <x:v>26PGDM063</x:v>
      </x:c>
      <x:c r="B44" s="17" t="str">
        <x:v>Aditi Bhagat</x:v>
      </x:c>
      <x:c r="C44" s="17" t="str">
        <x:v>28-Aditi.Bhagat@fiib.edu.in</x:v>
      </x:c>
      <x:c r="D44" s="17" t="str"/>
      <x:c r="E44" s="20" t="n">
        <x:v>0</x:v>
      </x:c>
      <x:c r="F44" s="20" t="n">
        <x:v>0</x:v>
      </x:c>
      <x:c r="G44" s="19" t="n">
        <x:v>0</x:v>
      </x:c>
      <x:c r="H44" s="18" t="n">
        <x:f>IF(E44&gt;0,E44+ROW()/100000,0)</x:f>
        <x:v>0</x:v>
      </x:c>
    </x:row>
    <x:row r="45">
      <x:c r="A45" s="21" t="str">
        <x:v>26PGDM064</x:v>
      </x:c>
      <x:c r="B45" s="17" t="str">
        <x:v>Ananjay Ravindran</x:v>
      </x:c>
      <x:c r="C45" s="17" t="str">
        <x:v>28-Ananjay.Ravindran@fiib.edu.in</x:v>
      </x:c>
      <x:c r="D45" s="17" t="str"/>
      <x:c r="E45" s="20" t="n">
        <x:v>0</x:v>
      </x:c>
      <x:c r="F45" s="20" t="n">
        <x:v>0</x:v>
      </x:c>
      <x:c r="G45" s="19" t="n">
        <x:v>0</x:v>
      </x:c>
      <x:c r="H45" s="18" t="n">
        <x:f>IF(E45&gt;0,E45+ROW()/100000,0)</x:f>
        <x:v>0</x:v>
      </x:c>
    </x:row>
    <x:row r="46">
      <x:c r="A46" s="21" t="str">
        <x:v>26PGDM065</x:v>
      </x:c>
      <x:c r="B46" s="17" t="str">
        <x:v>Ananya Kaushik</x:v>
      </x:c>
      <x:c r="C46" s="17" t="str">
        <x:v>28-Ananya.Kaushik@fiib.edu.in</x:v>
      </x:c>
      <x:c r="D46" s="17" t="str"/>
      <x:c r="E46" s="20" t="n">
        <x:v>0</x:v>
      </x:c>
      <x:c r="F46" s="20" t="n">
        <x:v>0</x:v>
      </x:c>
      <x:c r="G46" s="19" t="n">
        <x:v>0</x:v>
      </x:c>
      <x:c r="H46" s="18" t="n">
        <x:f>IF(E46&gt;0,E46+ROW()/100000,0)</x:f>
        <x:v>0</x:v>
      </x:c>
    </x:row>
    <x:row r="47">
      <x:c r="A47" s="21" t="str">
        <x:v>26PGDM066</x:v>
      </x:c>
      <x:c r="B47" s="17" t="str">
        <x:v>Anjali Tiwari</x:v>
      </x:c>
      <x:c r="C47" s="17" t="str">
        <x:v>28-Anjali.Tiwari1@fiib.edu.in</x:v>
      </x:c>
      <x:c r="D47" s="17" t="str"/>
      <x:c r="E47" s="20" t="n">
        <x:v>0</x:v>
      </x:c>
      <x:c r="F47" s="20" t="n">
        <x:v>0</x:v>
      </x:c>
      <x:c r="G47" s="19" t="n">
        <x:v>0</x:v>
      </x:c>
      <x:c r="H47" s="18" t="n">
        <x:f>IF(E47&gt;0,E47+ROW()/100000,0)</x:f>
        <x:v>0</x:v>
      </x:c>
    </x:row>
    <x:row r="48">
      <x:c r="A48" s="21" t="str">
        <x:v>26PGDM067</x:v>
      </x:c>
      <x:c r="B48" s="17" t="str">
        <x:v>Dhruv Tokas</x:v>
      </x:c>
      <x:c r="C48" s="17" t="str">
        <x:v>28-Dhruv.Tokas@fiib.edu.in</x:v>
      </x:c>
      <x:c r="D48" s="17" t="str"/>
      <x:c r="E48" s="20" t="n">
        <x:v>0</x:v>
      </x:c>
      <x:c r="F48" s="20" t="n">
        <x:v>0</x:v>
      </x:c>
      <x:c r="G48" s="19" t="n">
        <x:v>0</x:v>
      </x:c>
      <x:c r="H48" s="18" t="n">
        <x:f>IF(E48&gt;0,E48+ROW()/100000,0)</x:f>
        <x:v>0</x:v>
      </x:c>
    </x:row>
    <x:row r="49">
      <x:c r="A49" s="21" t="str">
        <x:v>26PGDM068</x:v>
      </x:c>
      <x:c r="B49" s="17" t="str">
        <x:v>Diksha Asija</x:v>
      </x:c>
      <x:c r="C49" s="17" t="str">
        <x:v>28-Diksha.Asija@fiib.edu.in</x:v>
      </x:c>
      <x:c r="D49" s="17" t="str"/>
      <x:c r="E49" s="20" t="n">
        <x:v>0</x:v>
      </x:c>
      <x:c r="F49" s="20" t="n">
        <x:v>0</x:v>
      </x:c>
      <x:c r="G49" s="19" t="n">
        <x:v>0</x:v>
      </x:c>
      <x:c r="H49" s="18" t="n">
        <x:f>IF(E49&gt;0,E49+ROW()/100000,0)</x:f>
        <x:v>0</x:v>
      </x:c>
    </x:row>
    <x:row r="50">
      <x:c r="A50" s="21" t="str">
        <x:v>26PGDM069</x:v>
      </x:c>
      <x:c r="B50" s="17" t="str">
        <x:v>Disha Mandiratta</x:v>
      </x:c>
      <x:c r="C50" s="17" t="str">
        <x:v>28-Disha.Mandiratta@fiib.edu.in</x:v>
      </x:c>
      <x:c r="D50" s="17" t="str"/>
      <x:c r="E50" s="20" t="n">
        <x:v>0</x:v>
      </x:c>
      <x:c r="F50" s="20" t="n">
        <x:v>0</x:v>
      </x:c>
      <x:c r="G50" s="19" t="n">
        <x:v>0</x:v>
      </x:c>
      <x:c r="H50" s="18" t="n">
        <x:f>IF(E50&gt;0,E50+ROW()/100000,0)</x:f>
        <x:v>0</x:v>
      </x:c>
    </x:row>
    <x:row r="51">
      <x:c r="A51" s="21" t="str">
        <x:v>26PGDM070</x:v>
      </x:c>
      <x:c r="B51" s="17" t="str">
        <x:v>Gajendra Singh Tomar</x:v>
      </x:c>
      <x:c r="C51" s="17" t="str">
        <x:v>28-Gajendra.Tomar@fiib.edu.in</x:v>
      </x:c>
      <x:c r="D51" s="17" t="str"/>
      <x:c r="E51" s="20" t="n">
        <x:v>0</x:v>
      </x:c>
      <x:c r="F51" s="20" t="n">
        <x:v>0</x:v>
      </x:c>
      <x:c r="G51" s="19" t="n">
        <x:v>0</x:v>
      </x:c>
      <x:c r="H51" s="18" t="n">
        <x:f>IF(E51&gt;0,E51+ROW()/100000,0)</x:f>
        <x:v>0</x:v>
      </x:c>
    </x:row>
    <x:row r="52">
      <x:c r="A52" s="21" t="str">
        <x:v>26PGDM071</x:v>
      </x:c>
      <x:c r="B52" s="17" t="str">
        <x:v>Gayatri Swain</x:v>
      </x:c>
      <x:c r="C52" s="17" t="str">
        <x:v>28-Gayatri.Swain@fiib.edu.in</x:v>
      </x:c>
      <x:c r="D52" s="17" t="str"/>
      <x:c r="E52" s="20" t="n">
        <x:v>0</x:v>
      </x:c>
      <x:c r="F52" s="20" t="n">
        <x:v>0</x:v>
      </x:c>
      <x:c r="G52" s="19" t="n">
        <x:v>0</x:v>
      </x:c>
      <x:c r="H52" s="18" t="n">
        <x:f>IF(E52&gt;0,E52+ROW()/100000,0)</x:f>
        <x:v>0</x:v>
      </x:c>
    </x:row>
    <x:row r="53">
      <x:c r="A53" s="21" t="str">
        <x:v>26PGDM072</x:v>
      </x:c>
      <x:c r="B53" s="17" t="str">
        <x:v>Harshit Sharma</x:v>
      </x:c>
      <x:c r="C53" s="17" t="str">
        <x:v>28-Harshit.Sharma@fiib.edu.in</x:v>
      </x:c>
      <x:c r="D53" s="17" t="str"/>
      <x:c r="E53" s="20" t="n">
        <x:v>0</x:v>
      </x:c>
      <x:c r="F53" s="20" t="n">
        <x:v>0</x:v>
      </x:c>
      <x:c r="G53" s="19" t="n">
        <x:v>0</x:v>
      </x:c>
      <x:c r="H53" s="18" t="n">
        <x:f>IF(E53&gt;0,E53+ROW()/100000,0)</x:f>
        <x:v>0</x:v>
      </x:c>
    </x:row>
    <x:row r="54">
      <x:c r="A54" s="21" t="str">
        <x:v>26PGDM073</x:v>
      </x:c>
      <x:c r="B54" s="17" t="str">
        <x:v>Harshita Khandelwal</x:v>
      </x:c>
      <x:c r="C54" s="17" t="str">
        <x:v>28-Harshita.Khandelwal@fiib.edu.in</x:v>
      </x:c>
      <x:c r="D54" s="17" t="str"/>
      <x:c r="E54" s="20" t="n">
        <x:v>0</x:v>
      </x:c>
      <x:c r="F54" s="20" t="n">
        <x:v>0</x:v>
      </x:c>
      <x:c r="G54" s="19" t="n">
        <x:v>0</x:v>
      </x:c>
      <x:c r="H54" s="18" t="n">
        <x:f>IF(E54&gt;0,E54+ROW()/100000,0)</x:f>
        <x:v>0</x:v>
      </x:c>
    </x:row>
    <x:row r="55">
      <x:c r="A55" s="21" t="str">
        <x:v>26PGDM074</x:v>
      </x:c>
      <x:c r="B55" s="17" t="str">
        <x:v>Jahnawi Singh</x:v>
      </x:c>
      <x:c r="C55" s="17" t="str">
        <x:v>28-Jahnawi.Singh@fiib.edu.in</x:v>
      </x:c>
      <x:c r="D55" s="17" t="str"/>
      <x:c r="E55" s="20" t="n">
        <x:v>0</x:v>
      </x:c>
      <x:c r="F55" s="20" t="n">
        <x:v>0</x:v>
      </x:c>
      <x:c r="G55" s="19" t="n">
        <x:v>0</x:v>
      </x:c>
      <x:c r="H55" s="18" t="n">
        <x:f>IF(E55&gt;0,E55+ROW()/100000,0)</x:f>
        <x:v>0</x:v>
      </x:c>
    </x:row>
    <x:row r="56">
      <x:c r="A56" s="21" t="str">
        <x:v>26PGDM075</x:v>
      </x:c>
      <x:c r="B56" s="17" t="str">
        <x:v>Karan Siwas</x:v>
      </x:c>
      <x:c r="C56" s="17" t="str">
        <x:v>28-Karan.Siwas@fiib.edu.in</x:v>
      </x:c>
      <x:c r="D56" s="17" t="str"/>
      <x:c r="E56" s="20" t="n">
        <x:v>0</x:v>
      </x:c>
      <x:c r="F56" s="20" t="n">
        <x:v>0</x:v>
      </x:c>
      <x:c r="G56" s="19" t="n">
        <x:v>0</x:v>
      </x:c>
      <x:c r="H56" s="18" t="n">
        <x:f>IF(E56&gt;0,E56+ROW()/100000,0)</x:f>
        <x:v>0</x:v>
      </x:c>
    </x:row>
    <x:row r="57">
      <x:c r="A57" s="21" t="str">
        <x:v>26PGDM076</x:v>
      </x:c>
      <x:c r="B57" s="17" t="str">
        <x:v>Khushi Verma</x:v>
      </x:c>
      <x:c r="C57" s="17" t="str">
        <x:v>28-Khushi.Verma@fiib.edu.in</x:v>
      </x:c>
      <x:c r="D57" s="17" t="str"/>
      <x:c r="E57" s="20" t="n">
        <x:v>0</x:v>
      </x:c>
      <x:c r="F57" s="20" t="n">
        <x:v>0</x:v>
      </x:c>
      <x:c r="G57" s="19" t="n">
        <x:v>0</x:v>
      </x:c>
      <x:c r="H57" s="18" t="n">
        <x:f>IF(E57&gt;0,E57+ROW()/100000,0)</x:f>
        <x:v>0</x:v>
      </x:c>
    </x:row>
    <x:row r="58">
      <x:c r="A58" s="21" t="str">
        <x:v>26PGDM077</x:v>
      </x:c>
      <x:c r="B58" s="17" t="str">
        <x:v>Madhav Kumar</x:v>
      </x:c>
      <x:c r="C58" s="17" t="str">
        <x:v>28-Madhav.Kumar@fiib.edu.in</x:v>
      </x:c>
      <x:c r="D58" s="17" t="str"/>
      <x:c r="E58" s="20" t="n">
        <x:v>0</x:v>
      </x:c>
      <x:c r="F58" s="20" t="n">
        <x:v>0</x:v>
      </x:c>
      <x:c r="G58" s="19" t="n">
        <x:v>0</x:v>
      </x:c>
      <x:c r="H58" s="18" t="n">
        <x:f>IF(E58&gt;0,E58+ROW()/100000,0)</x:f>
        <x:v>0</x:v>
      </x:c>
    </x:row>
    <x:row r="59">
      <x:c r="A59" s="21" t="str">
        <x:v>26PGDM078</x:v>
      </x:c>
      <x:c r="B59" s="17" t="str">
        <x:v>Mahak Sahu</x:v>
      </x:c>
      <x:c r="C59" s="17" t="str">
        <x:v>28-Mahak.Sahu@fiib.edu.in</x:v>
      </x:c>
      <x:c r="D59" s="17" t="str"/>
      <x:c r="E59" s="20" t="n">
        <x:v>0</x:v>
      </x:c>
      <x:c r="F59" s="20" t="n">
        <x:v>0</x:v>
      </x:c>
      <x:c r="G59" s="19" t="n">
        <x:v>0</x:v>
      </x:c>
      <x:c r="H59" s="18" t="n">
        <x:f>IF(E59&gt;0,E59+ROW()/100000,0)</x:f>
        <x:v>0</x:v>
      </x:c>
    </x:row>
    <x:row r="60">
      <x:c r="A60" s="21" t="str">
        <x:v>26PGDM079</x:v>
      </x:c>
      <x:c r="B60" s="17" t="str">
        <x:v>Mudit Garg</x:v>
      </x:c>
      <x:c r="C60" s="17" t="str">
        <x:v>28-mudit.garg@fiib.edu.in</x:v>
      </x:c>
      <x:c r="D60" s="17" t="str"/>
      <x:c r="E60" s="20" t="n">
        <x:v>0</x:v>
      </x:c>
      <x:c r="F60" s="20" t="n">
        <x:v>0</x:v>
      </x:c>
      <x:c r="G60" s="19" t="n">
        <x:v>0</x:v>
      </x:c>
      <x:c r="H60" s="18" t="n">
        <x:f>IF(E60&gt;0,E60+ROW()/100000,0)</x:f>
        <x:v>0</x:v>
      </x:c>
    </x:row>
    <x:row r="61">
      <x:c r="A61" s="21" t="str">
        <x:v>26PGDM080</x:v>
      </x:c>
      <x:c r="B61" s="17" t="str">
        <x:v>Naman Srivastava</x:v>
      </x:c>
      <x:c r="C61" s="17" t="str">
        <x:v>28-Naman.Srivastava@fiib.edu.in</x:v>
      </x:c>
      <x:c r="D61" s="17" t="str"/>
      <x:c r="E61" s="20" t="n">
        <x:v>0</x:v>
      </x:c>
      <x:c r="F61" s="20" t="n">
        <x:v>0</x:v>
      </x:c>
      <x:c r="G61" s="19" t="n">
        <x:v>0</x:v>
      </x:c>
      <x:c r="H61" s="18" t="n">
        <x:f>IF(E61&gt;0,E61+ROW()/100000,0)</x:f>
        <x:v>0</x:v>
      </x:c>
    </x:row>
    <x:row r="62">
      <x:c r="A62" s="21" t="str">
        <x:v>26PGDM081</x:v>
      </x:c>
      <x:c r="B62" s="17" t="str">
        <x:v>Niharika Kureel</x:v>
      </x:c>
      <x:c r="C62" s="17" t="str">
        <x:v>28-niharika.kureel@fiib.edu.in</x:v>
      </x:c>
      <x:c r="D62" s="17" t="str"/>
      <x:c r="E62" s="20" t="n">
        <x:v>0</x:v>
      </x:c>
      <x:c r="F62" s="20" t="n">
        <x:v>0</x:v>
      </x:c>
      <x:c r="G62" s="19" t="n">
        <x:v>0</x:v>
      </x:c>
      <x:c r="H62" s="18" t="n">
        <x:f>IF(E62&gt;0,E62+ROW()/100000,0)</x:f>
        <x:v>0</x:v>
      </x:c>
    </x:row>
    <x:row r="63">
      <x:c r="A63" s="21" t="str">
        <x:v>26PGDM082</x:v>
      </x:c>
      <x:c r="B63" s="17" t="str">
        <x:v>Nikita Joshi</x:v>
      </x:c>
      <x:c r="C63" s="17" t="str">
        <x:v>28-Nikita.Joshi@fiib.edu.in</x:v>
      </x:c>
      <x:c r="D63" s="17" t="str"/>
      <x:c r="E63" s="20" t="n">
        <x:v>0</x:v>
      </x:c>
      <x:c r="F63" s="20" t="n">
        <x:v>0</x:v>
      </x:c>
      <x:c r="G63" s="19" t="n">
        <x:v>0</x:v>
      </x:c>
      <x:c r="H63" s="18" t="n">
        <x:f>IF(E63&gt;0,E63+ROW()/100000,0)</x:f>
        <x:v>0</x:v>
      </x:c>
    </x:row>
    <x:row r="64">
      <x:c r="A64" s="21" t="str">
        <x:v>26PGDM083</x:v>
      </x:c>
      <x:c r="B64" s="17" t="str">
        <x:v>Palak Singhal</x:v>
      </x:c>
      <x:c r="C64" s="17" t="str">
        <x:v>28-Palak.Singhal@fiib.edu.in</x:v>
      </x:c>
      <x:c r="D64" s="17" t="str"/>
      <x:c r="E64" s="20" t="n">
        <x:v>0</x:v>
      </x:c>
      <x:c r="F64" s="20" t="n">
        <x:v>0</x:v>
      </x:c>
      <x:c r="G64" s="19" t="n">
        <x:v>0</x:v>
      </x:c>
      <x:c r="H64" s="18" t="n">
        <x:f>IF(E64&gt;0,E64+ROW()/100000,0)</x:f>
        <x:v>0</x:v>
      </x:c>
    </x:row>
    <x:row r="65">
      <x:c r="A65" s="21" t="str">
        <x:v>26PGDM085</x:v>
      </x:c>
      <x:c r="B65" s="17" t="str">
        <x:v>Sakshi Sharma</x:v>
      </x:c>
      <x:c r="C65" s="17" t="str">
        <x:v>28-sakshi.sharma@fiib.edu.in</x:v>
      </x:c>
      <x:c r="D65" s="17" t="str"/>
      <x:c r="E65" s="20" t="n">
        <x:v>0</x:v>
      </x:c>
      <x:c r="F65" s="20" t="n">
        <x:v>0</x:v>
      </x:c>
      <x:c r="G65" s="19" t="n">
        <x:v>0</x:v>
      </x:c>
      <x:c r="H65" s="18" t="n">
        <x:f>IF(E65&gt;0,E65+ROW()/100000,0)</x:f>
        <x:v>0</x:v>
      </x:c>
    </x:row>
    <x:row r="66">
      <x:c r="A66" s="21" t="str">
        <x:v>26PGDM086</x:v>
      </x:c>
      <x:c r="B66" s="17" t="str">
        <x:v>Sanchita Yashaswi</x:v>
      </x:c>
      <x:c r="C66" s="17" t="str">
        <x:v>28-Sanchita.Yashaswi@fiib.edu.in</x:v>
      </x:c>
      <x:c r="D66" s="17" t="str"/>
      <x:c r="E66" s="20" t="n">
        <x:v>0</x:v>
      </x:c>
      <x:c r="F66" s="20" t="n">
        <x:v>0</x:v>
      </x:c>
      <x:c r="G66" s="19" t="n">
        <x:v>0</x:v>
      </x:c>
      <x:c r="H66" s="18" t="n">
        <x:f>IF(E66&gt;0,E66+ROW()/100000,0)</x:f>
        <x:v>0</x:v>
      </x:c>
    </x:row>
    <x:row r="67">
      <x:c r="A67" s="21" t="str">
        <x:v>26PGDM087</x:v>
      </x:c>
      <x:c r="B67" s="17" t="str">
        <x:v>Shivaditya Deb</x:v>
      </x:c>
      <x:c r="C67" s="17" t="str">
        <x:v>28-Shivaditya.Deb@fiib.edu.in</x:v>
      </x:c>
      <x:c r="D67" s="17" t="str"/>
      <x:c r="E67" s="20" t="n">
        <x:v>0</x:v>
      </x:c>
      <x:c r="F67" s="20" t="n">
        <x:v>0</x:v>
      </x:c>
      <x:c r="G67" s="19" t="n">
        <x:v>0</x:v>
      </x:c>
      <x:c r="H67" s="18" t="n">
        <x:f>IF(E67&gt;0,E67+ROW()/100000,0)</x:f>
        <x:v>0</x:v>
      </x:c>
    </x:row>
    <x:row r="68">
      <x:c r="A68" s="21" t="str">
        <x:v>26PGDM088</x:v>
      </x:c>
      <x:c r="B68" s="17" t="str">
        <x:v>Shubh Daga</x:v>
      </x:c>
      <x:c r="C68" s="17" t="str">
        <x:v>28-Shubh.Daga@fiib.edu.in</x:v>
      </x:c>
      <x:c r="D68" s="17" t="str"/>
      <x:c r="E68" s="20" t="n">
        <x:v>0</x:v>
      </x:c>
      <x:c r="F68" s="20" t="n">
        <x:v>0</x:v>
      </x:c>
      <x:c r="G68" s="19" t="n">
        <x:v>0</x:v>
      </x:c>
      <x:c r="H68" s="18" t="n">
        <x:f>IF(E68&gt;0,E68+ROW()/100000,0)</x:f>
        <x:v>0</x:v>
      </x:c>
    </x:row>
    <x:row r="69">
      <x:c r="A69" s="21" t="str">
        <x:v>26PGDM089</x:v>
      </x:c>
      <x:c r="B69" s="17" t="str">
        <x:v>Shubham Kumar</x:v>
      </x:c>
      <x:c r="C69" s="17" t="str">
        <x:v>28-Shubham.Kumar@fiib.edu.in</x:v>
      </x:c>
      <x:c r="D69" s="17" t="str"/>
      <x:c r="E69" s="20" t="n">
        <x:v>0</x:v>
      </x:c>
      <x:c r="F69" s="20" t="n">
        <x:v>0</x:v>
      </x:c>
      <x:c r="G69" s="19" t="n">
        <x:v>0</x:v>
      </x:c>
      <x:c r="H69" s="18" t="n">
        <x:f>IF(E69&gt;0,E69+ROW()/100000,0)</x:f>
        <x:v>0</x:v>
      </x:c>
    </x:row>
    <x:row r="70">
      <x:c r="A70" s="21" t="str">
        <x:v>26PGDM091</x:v>
      </x:c>
      <x:c r="B70" s="17" t="str">
        <x:v>Suhani Dubey</x:v>
      </x:c>
      <x:c r="C70" s="17" t="str">
        <x:v>28-Suhani.Dubey@fiib.edu.in</x:v>
      </x:c>
      <x:c r="D70" s="17" t="str"/>
      <x:c r="E70" s="20" t="n">
        <x:v>0</x:v>
      </x:c>
      <x:c r="F70" s="20" t="n">
        <x:v>0</x:v>
      </x:c>
      <x:c r="G70" s="19" t="n">
        <x:v>0</x:v>
      </x:c>
      <x:c r="H70" s="18" t="n">
        <x:f>IF(E70&gt;0,E70+ROW()/100000,0)</x:f>
        <x:v>0</x:v>
      </x:c>
    </x:row>
    <x:row r="71">
      <x:c r="A71" s="21" t="str">
        <x:v>26PGDM092</x:v>
      </x:c>
      <x:c r="B71" s="17" t="str">
        <x:v>Tanveer Singh</x:v>
      </x:c>
      <x:c r="C71" s="17" t="str">
        <x:v>28-Tanveer.Singh@fiib.edu.in</x:v>
      </x:c>
      <x:c r="D71" s="17" t="str"/>
      <x:c r="E71" s="20" t="n">
        <x:v>0</x:v>
      </x:c>
      <x:c r="F71" s="20" t="n">
        <x:v>0</x:v>
      </x:c>
      <x:c r="G71" s="19" t="n">
        <x:v>0</x:v>
      </x:c>
      <x:c r="H71" s="18" t="n">
        <x:f>IF(E71&gt;0,E71+ROW()/100000,0)</x:f>
        <x:v>0</x:v>
      </x:c>
    </x:row>
    <x:row r="72">
      <x:c r="A72" s="21" t="str">
        <x:v>26PGDM093</x:v>
      </x:c>
      <x:c r="B72" s="17" t="str">
        <x:v>Vishonika -</x:v>
      </x:c>
      <x:c r="C72" s="17" t="str">
        <x:v>28-Vishonika@fiib.edu.in</x:v>
      </x:c>
      <x:c r="D72" s="17" t="str"/>
      <x:c r="E72" s="20" t="n">
        <x:v>0</x:v>
      </x:c>
      <x:c r="F72" s="20" t="n">
        <x:v>0</x:v>
      </x:c>
      <x:c r="G72" s="19" t="n">
        <x:v>0</x:v>
      </x:c>
      <x:c r="H72" s="18" t="n">
        <x:f>IF(E72&gt;0,E72+ROW()/100000,0)</x:f>
        <x:v>0</x:v>
      </x:c>
    </x:row>
    <x:row r="73">
      <x:c r="A73" s="21" t="str">
        <x:v>26PGDM094</x:v>
      </x:c>
      <x:c r="B73" s="17" t="str">
        <x:v>Vivek Kumar Singh</x:v>
      </x:c>
      <x:c r="C73" s="17" t="str">
        <x:v>28-Vivek.Singh@fiib.edu.in</x:v>
      </x:c>
      <x:c r="D73" s="17" t="str"/>
      <x:c r="E73" s="20" t="n">
        <x:v>0</x:v>
      </x:c>
      <x:c r="F73" s="20" t="n">
        <x:v>0</x:v>
      </x:c>
      <x:c r="G73" s="19" t="n">
        <x:v>0</x:v>
      </x:c>
      <x:c r="H73" s="18" t="n">
        <x:f>IF(E73&gt;0,E73+ROW()/100000,0)</x:f>
        <x:v>0</x:v>
      </x:c>
    </x:row>
    <x:row r="74">
      <x:c r="A74" s="21" t="str">
        <x:v>26PGDM095</x:v>
      </x:c>
      <x:c r="B74" s="17" t="str">
        <x:v>Yash Sobti</x:v>
      </x:c>
      <x:c r="C74" s="17" t="str">
        <x:v>28-Yash.Sobti@fiib.edu.in</x:v>
      </x:c>
      <x:c r="D74" s="17" t="str"/>
      <x:c r="E74" s="20" t="n">
        <x:v>0</x:v>
      </x:c>
      <x:c r="F74" s="20" t="n">
        <x:v>0</x:v>
      </x:c>
      <x:c r="G74" s="19" t="n">
        <x:v>0</x:v>
      </x:c>
      <x:c r="H74" s="18" t="n">
        <x:f>IF(E74&gt;0,E74+ROW()/100000,0)</x:f>
        <x:v>0</x:v>
      </x:c>
    </x:row>
    <x:row r="75">
      <x:c r="A75" s="21" t="str">
        <x:v>26PGDM122</x:v>
      </x:c>
      <x:c r="B75" s="17" t="str">
        <x:v>Abhishek Kumar Singh</x:v>
      </x:c>
      <x:c r="C75" s="17" t="str">
        <x:v>28-Abhishek.Singh@fiib.edu.in</x:v>
      </x:c>
      <x:c r="D75" s="17" t="str"/>
      <x:c r="E75" s="20" t="n">
        <x:v>0</x:v>
      </x:c>
      <x:c r="F75" s="20" t="n">
        <x:v>0</x:v>
      </x:c>
      <x:c r="G75" s="19" t="n">
        <x:v>0</x:v>
      </x:c>
      <x:c r="H75" s="18" t="n">
        <x:f>IF(E75&gt;0,E75+ROW()/100000,0)</x:f>
        <x:v>0</x:v>
      </x:c>
    </x:row>
    <x:row r="76">
      <x:c r="A76" s="21" t="str">
        <x:v>26PGDM123</x:v>
      </x:c>
      <x:c r="B76" s="17" t="str">
        <x:v>Aditi Mishra</x:v>
      </x:c>
      <x:c r="C76" s="17" t="str">
        <x:v>28-Aditi.Mishra@fiib.edu.in</x:v>
      </x:c>
      <x:c r="D76" s="17" t="str"/>
      <x:c r="E76" s="20" t="n">
        <x:v>0</x:v>
      </x:c>
      <x:c r="F76" s="20" t="n">
        <x:v>0</x:v>
      </x:c>
      <x:c r="G76" s="19" t="n">
        <x:v>0</x:v>
      </x:c>
      <x:c r="H76" s="18" t="n">
        <x:f>IF(E76&gt;0,E76+ROW()/100000,0)</x:f>
        <x:v>0</x:v>
      </x:c>
    </x:row>
    <x:row r="77">
      <x:c r="A77" s="21" t="str">
        <x:v>26PGDM124</x:v>
      </x:c>
      <x:c r="B77" s="17" t="str">
        <x:v>Aditya Kishan</x:v>
      </x:c>
      <x:c r="C77" s="17" t="str">
        <x:v>28-Aditya.Kishan@fiib.edu.in</x:v>
      </x:c>
      <x:c r="D77" s="17" t="str"/>
      <x:c r="E77" s="20" t="n">
        <x:v>0</x:v>
      </x:c>
      <x:c r="F77" s="20" t="n">
        <x:v>0</x:v>
      </x:c>
      <x:c r="G77" s="19" t="n">
        <x:v>0</x:v>
      </x:c>
      <x:c r="H77" s="18" t="n">
        <x:f>IF(E77&gt;0,E77+ROW()/100000,0)</x:f>
        <x:v>0</x:v>
      </x:c>
    </x:row>
    <x:row r="78">
      <x:c r="A78" s="21" t="str">
        <x:v>26PGDM125</x:v>
      </x:c>
      <x:c r="B78" s="17" t="str">
        <x:v>Aditya Sachdeva</x:v>
      </x:c>
      <x:c r="C78" s="17" t="str">
        <x:v>28-Aditya.Sachdeva@fiib.edu.in</x:v>
      </x:c>
      <x:c r="D78" s="17" t="str"/>
      <x:c r="E78" s="20" t="n">
        <x:v>0</x:v>
      </x:c>
      <x:c r="F78" s="20" t="n">
        <x:v>0</x:v>
      </x:c>
      <x:c r="G78" s="19" t="n">
        <x:v>0</x:v>
      </x:c>
      <x:c r="H78" s="18" t="n">
        <x:f>IF(E78&gt;0,E78+ROW()/100000,0)</x:f>
        <x:v>0</x:v>
      </x:c>
    </x:row>
    <x:row r="79">
      <x:c r="A79" s="21" t="str">
        <x:v>26PGDM126</x:v>
      </x:c>
      <x:c r="B79" s="17" t="str">
        <x:v>Akshay Kumar</x:v>
      </x:c>
      <x:c r="C79" s="17" t="str">
        <x:v>28-akshay.kumar@fiib.edu.in</x:v>
      </x:c>
      <x:c r="D79" s="17" t="str"/>
      <x:c r="E79" s="20" t="n">
        <x:v>0</x:v>
      </x:c>
      <x:c r="F79" s="20" t="n">
        <x:v>0</x:v>
      </x:c>
      <x:c r="G79" s="19" t="n">
        <x:v>0</x:v>
      </x:c>
      <x:c r="H79" s="18" t="n">
        <x:f>IF(E79&gt;0,E79+ROW()/100000,0)</x:f>
        <x:v>0</x:v>
      </x:c>
    </x:row>
    <x:row r="80">
      <x:c r="A80" s="21" t="str">
        <x:v>26PGDM127</x:v>
      </x:c>
      <x:c r="B80" s="17" t="str">
        <x:v>Aman Rathore</x:v>
      </x:c>
      <x:c r="C80" s="17" t="str">
        <x:v>28-Aman.Rathore@fiib.edu.in</x:v>
      </x:c>
      <x:c r="D80" s="17" t="str"/>
      <x:c r="E80" s="20" t="n">
        <x:v>0</x:v>
      </x:c>
      <x:c r="F80" s="20" t="n">
        <x:v>0</x:v>
      </x:c>
      <x:c r="G80" s="19" t="n">
        <x:v>0</x:v>
      </x:c>
      <x:c r="H80" s="18" t="n">
        <x:f>IF(E80&gt;0,E80+ROW()/100000,0)</x:f>
        <x:v>0</x:v>
      </x:c>
    </x:row>
    <x:row r="81">
      <x:c r="A81" s="21" t="str">
        <x:v>26PGDM128</x:v>
      </x:c>
      <x:c r="B81" s="17" t="str">
        <x:v>Anjali Verma</x:v>
      </x:c>
      <x:c r="C81" s="17" t="str">
        <x:v>28-anjali.verma@fiib.edu.in</x:v>
      </x:c>
      <x:c r="D81" s="17" t="str"/>
      <x:c r="E81" s="20" t="n">
        <x:v>0</x:v>
      </x:c>
      <x:c r="F81" s="20" t="n">
        <x:v>0</x:v>
      </x:c>
      <x:c r="G81" s="19" t="n">
        <x:v>0</x:v>
      </x:c>
      <x:c r="H81" s="18" t="n">
        <x:f>IF(E81&gt;0,E81+ROW()/100000,0)</x:f>
        <x:v>0</x:v>
      </x:c>
    </x:row>
    <x:row r="82">
      <x:c r="A82" s="21" t="str">
        <x:v>26PGDM129</x:v>
      </x:c>
      <x:c r="B82" s="17" t="str">
        <x:v>Apurva Singh</x:v>
      </x:c>
      <x:c r="C82" s="17" t="str">
        <x:v>28-Apurva.Singh@fiib.edu.in</x:v>
      </x:c>
      <x:c r="D82" s="17" t="str"/>
      <x:c r="E82" s="20" t="n">
        <x:v>0</x:v>
      </x:c>
      <x:c r="F82" s="20" t="n">
        <x:v>0</x:v>
      </x:c>
      <x:c r="G82" s="19" t="n">
        <x:v>0</x:v>
      </x:c>
      <x:c r="H82" s="18" t="n">
        <x:f>IF(E82&gt;0,E82+ROW()/100000,0)</x:f>
        <x:v>0</x:v>
      </x:c>
    </x:row>
    <x:row r="83">
      <x:c r="A83" s="21" t="str">
        <x:v>26PGDM130</x:v>
      </x:c>
      <x:c r="B83" s="17" t="str">
        <x:v>Dhairya Sharma</x:v>
      </x:c>
      <x:c r="C83" s="17" t="str">
        <x:v>28-Dhairya.Sharma@fiib.edu.in</x:v>
      </x:c>
      <x:c r="D83" s="17" t="str"/>
      <x:c r="E83" s="20" t="n">
        <x:v>0</x:v>
      </x:c>
      <x:c r="F83" s="20" t="n">
        <x:v>0</x:v>
      </x:c>
      <x:c r="G83" s="19" t="n">
        <x:v>0</x:v>
      </x:c>
      <x:c r="H83" s="18" t="n">
        <x:f>IF(E83&gt;0,E83+ROW()/100000,0)</x:f>
        <x:v>0</x:v>
      </x:c>
    </x:row>
    <x:row r="84">
      <x:c r="A84" s="21" t="str">
        <x:v>26PGDM131</x:v>
      </x:c>
      <x:c r="B84" s="17" t="str">
        <x:v>Divyansh Gupta</x:v>
      </x:c>
      <x:c r="C84" s="17" t="str">
        <x:v>28-Divyansh.Gupta@fiib.edu.in</x:v>
      </x:c>
      <x:c r="D84" s="17" t="str"/>
      <x:c r="E84" s="20" t="n">
        <x:v>0</x:v>
      </x:c>
      <x:c r="F84" s="20" t="n">
        <x:v>0</x:v>
      </x:c>
      <x:c r="G84" s="19" t="n">
        <x:v>0</x:v>
      </x:c>
      <x:c r="H84" s="18" t="n">
        <x:f>IF(E84&gt;0,E84+ROW()/100000,0)</x:f>
        <x:v>0</x:v>
      </x:c>
    </x:row>
    <x:row r="85">
      <x:c r="A85" s="21" t="str">
        <x:v>26PGDM132</x:v>
      </x:c>
      <x:c r="B85" s="17" t="str">
        <x:v>Diya Bhandari</x:v>
      </x:c>
      <x:c r="C85" s="17" t="str">
        <x:v>28-Diya.Bhandari@fiib.edu.in</x:v>
      </x:c>
      <x:c r="D85" s="17" t="str"/>
      <x:c r="E85" s="20" t="n">
        <x:v>0</x:v>
      </x:c>
      <x:c r="F85" s="20" t="n">
        <x:v>0</x:v>
      </x:c>
      <x:c r="G85" s="19" t="n">
        <x:v>0</x:v>
      </x:c>
      <x:c r="H85" s="18" t="n">
        <x:f>IF(E85&gt;0,E85+ROW()/100000,0)</x:f>
        <x:v>0</x:v>
      </x:c>
    </x:row>
    <x:row r="86">
      <x:c r="A86" s="21" t="str">
        <x:v>26PGDM133</x:v>
      </x:c>
      <x:c r="B86" s="17" t="str">
        <x:v>Eshani Pandey</x:v>
      </x:c>
      <x:c r="C86" s="17" t="str">
        <x:v>28-Eshani.Pandey@fiib.edu.in</x:v>
      </x:c>
      <x:c r="D86" s="17" t="str"/>
      <x:c r="E86" s="20" t="n">
        <x:v>0</x:v>
      </x:c>
      <x:c r="F86" s="20" t="n">
        <x:v>0</x:v>
      </x:c>
      <x:c r="G86" s="19" t="n">
        <x:v>0</x:v>
      </x:c>
      <x:c r="H86" s="18" t="n">
        <x:f>IF(E86&gt;0,E86+ROW()/100000,0)</x:f>
        <x:v>0</x:v>
      </x:c>
    </x:row>
    <x:row r="87">
      <x:c r="A87" s="21" t="str">
        <x:v>26PGDM134</x:v>
      </x:c>
      <x:c r="B87" s="17" t="str">
        <x:v>Jahnavi .</x:v>
      </x:c>
      <x:c r="C87" s="17" t="str">
        <x:v>28-Jahnavi.Goyal@fiib.edu.in</x:v>
      </x:c>
      <x:c r="D87" s="17" t="str"/>
      <x:c r="E87" s="20" t="n">
        <x:v>0</x:v>
      </x:c>
      <x:c r="F87" s="20" t="n">
        <x:v>0</x:v>
      </x:c>
      <x:c r="G87" s="19" t="n">
        <x:v>0</x:v>
      </x:c>
      <x:c r="H87" s="18" t="n">
        <x:f>IF(E87&gt;0,E87+ROW()/100000,0)</x:f>
        <x:v>0</x:v>
      </x:c>
    </x:row>
    <x:row r="88">
      <x:c r="A88" s="21" t="str">
        <x:v>26PGDM135</x:v>
      </x:c>
      <x:c r="B88" s="17" t="str">
        <x:v>Joni Ahmed</x:v>
      </x:c>
      <x:c r="C88" s="17" t="str">
        <x:v>28-Joni.Ahmed@fiib.edu.in</x:v>
      </x:c>
      <x:c r="D88" s="17" t="str"/>
      <x:c r="E88" s="20" t="n">
        <x:v>0</x:v>
      </x:c>
      <x:c r="F88" s="20" t="n">
        <x:v>0</x:v>
      </x:c>
      <x:c r="G88" s="19" t="n">
        <x:v>0</x:v>
      </x:c>
      <x:c r="H88" s="18" t="n">
        <x:f>IF(E88&gt;0,E88+ROW()/100000,0)</x:f>
        <x:v>0</x:v>
      </x:c>
    </x:row>
    <x:row r="89">
      <x:c r="A89" s="21" t="str">
        <x:v>26PGDM136</x:v>
      </x:c>
      <x:c r="B89" s="17" t="str">
        <x:v>Kanishka Garg</x:v>
      </x:c>
      <x:c r="C89" s="17" t="str">
        <x:v>28-Kanishka.Garg@fiib.edu.in</x:v>
      </x:c>
      <x:c r="D89" s="17" t="str"/>
      <x:c r="E89" s="20" t="n">
        <x:v>0</x:v>
      </x:c>
      <x:c r="F89" s="20" t="n">
        <x:v>0</x:v>
      </x:c>
      <x:c r="G89" s="19" t="n">
        <x:v>0</x:v>
      </x:c>
      <x:c r="H89" s="18" t="n">
        <x:f>IF(E89&gt;0,E89+ROW()/100000,0)</x:f>
        <x:v>0</x:v>
      </x:c>
    </x:row>
    <x:row r="90">
      <x:c r="A90" s="21" t="str">
        <x:v>26PGDM137</x:v>
      </x:c>
      <x:c r="B90" s="17" t="str">
        <x:v>Kash Kumar</x:v>
      </x:c>
      <x:c r="C90" s="17" t="str">
        <x:v>28-Kash.Kumar@fiib.edu.in</x:v>
      </x:c>
      <x:c r="D90" s="17" t="str"/>
      <x:c r="E90" s="20" t="n">
        <x:v>0</x:v>
      </x:c>
      <x:c r="F90" s="20" t="n">
        <x:v>0</x:v>
      </x:c>
      <x:c r="G90" s="19" t="n">
        <x:v>0</x:v>
      </x:c>
      <x:c r="H90" s="18" t="n">
        <x:f>IF(E90&gt;0,E90+ROW()/100000,0)</x:f>
        <x:v>0</x:v>
      </x:c>
    </x:row>
    <x:row r="91">
      <x:c r="A91" s="21" t="str">
        <x:v>26PGDM138</x:v>
      </x:c>
      <x:c r="B91" s="17" t="str">
        <x:v>Krishna Vikas</x:v>
      </x:c>
      <x:c r="C91" s="17" t="str">
        <x:v>28-Krishna.Vikas@fiib.edu.in</x:v>
      </x:c>
      <x:c r="D91" s="17" t="str"/>
      <x:c r="E91" s="20" t="n">
        <x:v>0</x:v>
      </x:c>
      <x:c r="F91" s="20" t="n">
        <x:v>0</x:v>
      </x:c>
      <x:c r="G91" s="19" t="n">
        <x:v>0</x:v>
      </x:c>
      <x:c r="H91" s="18" t="n">
        <x:f>IF(E91&gt;0,E91+ROW()/100000,0)</x:f>
        <x:v>0</x:v>
      </x:c>
    </x:row>
    <x:row r="92">
      <x:c r="A92" s="21" t="str">
        <x:v>26PGDM139</x:v>
      </x:c>
      <x:c r="B92" s="17" t="str">
        <x:v>Kritika -</x:v>
      </x:c>
      <x:c r="C92" s="17" t="str">
        <x:v>28-Kritika@fiib.edu.in</x:v>
      </x:c>
      <x:c r="D92" s="17" t="str"/>
      <x:c r="E92" s="20" t="n">
        <x:v>0</x:v>
      </x:c>
      <x:c r="F92" s="20" t="n">
        <x:v>0</x:v>
      </x:c>
      <x:c r="G92" s="19" t="n">
        <x:v>0</x:v>
      </x:c>
      <x:c r="H92" s="18" t="n">
        <x:f>IF(E92&gt;0,E92+ROW()/100000,0)</x:f>
        <x:v>0</x:v>
      </x:c>
    </x:row>
    <x:row r="93">
      <x:c r="A93" s="21" t="str">
        <x:v>26PGDM140</x:v>
      </x:c>
      <x:c r="B93" s="17" t="str">
        <x:v>Madhav Srivastava</x:v>
      </x:c>
      <x:c r="C93" s="17" t="str">
        <x:v>28-Madhav.Srivastava@fiib.edu.in</x:v>
      </x:c>
      <x:c r="D93" s="17" t="str"/>
      <x:c r="E93" s="20" t="n">
        <x:v>0</x:v>
      </x:c>
      <x:c r="F93" s="20" t="n">
        <x:v>0</x:v>
      </x:c>
      <x:c r="G93" s="19" t="n">
        <x:v>0</x:v>
      </x:c>
      <x:c r="H93" s="18" t="n">
        <x:f>IF(E93&gt;0,E93+ROW()/100000,0)</x:f>
        <x:v>0</x:v>
      </x:c>
    </x:row>
    <x:row r="94">
      <x:c r="A94" s="21" t="str">
        <x:v>26PGDM141</x:v>
      </x:c>
      <x:c r="B94" s="17" t="str">
        <x:v>Minakshi Kalita</x:v>
      </x:c>
      <x:c r="C94" s="17" t="str">
        <x:v>28-Minakshi.Kalita@fiib.edu.in</x:v>
      </x:c>
      <x:c r="D94" s="17" t="str"/>
      <x:c r="E94" s="20" t="n">
        <x:v>0</x:v>
      </x:c>
      <x:c r="F94" s="20" t="n">
        <x:v>0</x:v>
      </x:c>
      <x:c r="G94" s="19" t="n">
        <x:v>0</x:v>
      </x:c>
      <x:c r="H94" s="18" t="n">
        <x:f>IF(E94&gt;0,E94+ROW()/100000,0)</x:f>
        <x:v>0</x:v>
      </x:c>
    </x:row>
    <x:row r="95">
      <x:c r="A95" s="21" t="str">
        <x:v>26PGDM142</x:v>
      </x:c>
      <x:c r="B95" s="17" t="str">
        <x:v>Neha Patel</x:v>
      </x:c>
      <x:c r="C95" s="17" t="str">
        <x:v>28-Neha.Patel@fiib.edu.in</x:v>
      </x:c>
      <x:c r="D95" s="17" t="str"/>
      <x:c r="E95" s="20" t="n">
        <x:v>0</x:v>
      </x:c>
      <x:c r="F95" s="20" t="n">
        <x:v>0</x:v>
      </x:c>
      <x:c r="G95" s="19" t="n">
        <x:v>0</x:v>
      </x:c>
      <x:c r="H95" s="18" t="n">
        <x:f>IF(E95&gt;0,E95+ROW()/100000,0)</x:f>
        <x:v>0</x:v>
      </x:c>
    </x:row>
    <x:row r="96">
      <x:c r="A96" s="21" t="str">
        <x:v>26PGDM143</x:v>
      </x:c>
      <x:c r="B96" s="17" t="str">
        <x:v>Paras Jalandra</x:v>
      </x:c>
      <x:c r="C96" s="17" t="str">
        <x:v>28-Paras.Jalandra@fiib.edu.in</x:v>
      </x:c>
      <x:c r="D96" s="17" t="str"/>
      <x:c r="E96" s="20" t="n">
        <x:v>0</x:v>
      </x:c>
      <x:c r="F96" s="20" t="n">
        <x:v>0</x:v>
      </x:c>
      <x:c r="G96" s="19" t="n">
        <x:v>0</x:v>
      </x:c>
      <x:c r="H96" s="18" t="n">
        <x:f>IF(E96&gt;0,E96+ROW()/100000,0)</x:f>
        <x:v>0</x:v>
      </x:c>
    </x:row>
    <x:row r="97">
      <x:c r="A97" s="21" t="str">
        <x:v>26PGDM144</x:v>
      </x:c>
      <x:c r="B97" s="17" t="str">
        <x:v>Pooja Kumari</x:v>
      </x:c>
      <x:c r="C97" s="17" t="str">
        <x:v>28-Pooja.Kumari@fiib.edu.in</x:v>
      </x:c>
      <x:c r="D97" s="17" t="str"/>
      <x:c r="E97" s="20" t="n">
        <x:v>0</x:v>
      </x:c>
      <x:c r="F97" s="20" t="n">
        <x:v>0</x:v>
      </x:c>
      <x:c r="G97" s="19" t="n">
        <x:v>0</x:v>
      </x:c>
      <x:c r="H97" s="18" t="n">
        <x:f>IF(E97&gt;0,E97+ROW()/100000,0)</x:f>
        <x:v>0</x:v>
      </x:c>
    </x:row>
    <x:row r="98">
      <x:c r="A98" s="21" t="str">
        <x:v>26PGDM145</x:v>
      </x:c>
      <x:c r="B98" s="17" t="str">
        <x:v>Pooja Samanta</x:v>
      </x:c>
      <x:c r="C98" s="17" t="str">
        <x:v>28-Pooja.Samanta@fiib.edu.in</x:v>
      </x:c>
      <x:c r="D98" s="17" t="str"/>
      <x:c r="E98" s="20" t="n">
        <x:v>0</x:v>
      </x:c>
      <x:c r="F98" s="20" t="n">
        <x:v>0</x:v>
      </x:c>
      <x:c r="G98" s="19" t="n">
        <x:v>0</x:v>
      </x:c>
      <x:c r="H98" s="18" t="n">
        <x:f>IF(E98&gt;0,E98+ROW()/100000,0)</x:f>
        <x:v>0</x:v>
      </x:c>
    </x:row>
    <x:row r="99">
      <x:c r="A99" s="21" t="str">
        <x:v>26PGDM146</x:v>
      </x:c>
      <x:c r="B99" s="17" t="str">
        <x:v>Poornam Jaiswal</x:v>
      </x:c>
      <x:c r="C99" s="17" t="str">
        <x:v>28-Poornam.Jaiswal@fiib.edu.in</x:v>
      </x:c>
      <x:c r="D99" s="17" t="str"/>
      <x:c r="E99" s="20" t="n">
        <x:v>0</x:v>
      </x:c>
      <x:c r="F99" s="20" t="n">
        <x:v>0</x:v>
      </x:c>
      <x:c r="G99" s="19" t="n">
        <x:v>0</x:v>
      </x:c>
      <x:c r="H99" s="18" t="n">
        <x:f>IF(E99&gt;0,E99+ROW()/100000,0)</x:f>
        <x:v>0</x:v>
      </x:c>
    </x:row>
    <x:row r="100">
      <x:c r="A100" s="21" t="str">
        <x:v>26PGDM147</x:v>
      </x:c>
      <x:c r="B100" s="17" t="str">
        <x:v>Prachi Singh</x:v>
      </x:c>
      <x:c r="C100" s="17" t="str">
        <x:v>28-Prachi.Singh@fiib.edu.in</x:v>
      </x:c>
      <x:c r="D100" s="17" t="str"/>
      <x:c r="E100" s="20" t="n">
        <x:v>0</x:v>
      </x:c>
      <x:c r="F100" s="20" t="n">
        <x:v>0</x:v>
      </x:c>
      <x:c r="G100" s="19" t="n">
        <x:v>0</x:v>
      </x:c>
      <x:c r="H100" s="18" t="n">
        <x:f>IF(E100&gt;0,E100+ROW()/100000,0)</x:f>
        <x:v>0</x:v>
      </x:c>
    </x:row>
    <x:row r="101">
      <x:c r="A101" s="21" t="str">
        <x:v>26PGDM148</x:v>
      </x:c>
      <x:c r="B101" s="17" t="str">
        <x:v>Ritesh Ranjan</x:v>
      </x:c>
      <x:c r="C101" s="17" t="str">
        <x:v>28-Ritesh.Ranjan@fiib.edu.in</x:v>
      </x:c>
      <x:c r="D101" s="17" t="str"/>
      <x:c r="E101" s="20" t="n">
        <x:v>0</x:v>
      </x:c>
      <x:c r="F101" s="20" t="n">
        <x:v>0</x:v>
      </x:c>
      <x:c r="G101" s="19" t="n">
        <x:v>0</x:v>
      </x:c>
      <x:c r="H101" s="18" t="n">
        <x:f>IF(E101&gt;0,E101+ROW()/100000,0)</x:f>
        <x:v>0</x:v>
      </x:c>
    </x:row>
    <x:row r="102">
      <x:c r="A102" s="21" t="str">
        <x:v>26PGDM149</x:v>
      </x:c>
      <x:c r="B102" s="17" t="str">
        <x:v>Satvik Tickoo</x:v>
      </x:c>
      <x:c r="C102" s="17" t="str">
        <x:v>28-Satvik.Tickoo@fiib.edu.in</x:v>
      </x:c>
      <x:c r="D102" s="17" t="str"/>
      <x:c r="E102" s="20" t="n">
        <x:v>0</x:v>
      </x:c>
      <x:c r="F102" s="20" t="n">
        <x:v>0</x:v>
      </x:c>
      <x:c r="G102" s="19" t="n">
        <x:v>0</x:v>
      </x:c>
      <x:c r="H102" s="18" t="n">
        <x:f>IF(E102&gt;0,E102+ROW()/100000,0)</x:f>
        <x:v>0</x:v>
      </x:c>
    </x:row>
    <x:row r="103">
      <x:c r="A103" s="21" t="str">
        <x:v>26PGDM150</x:v>
      </x:c>
      <x:c r="B103" s="17" t="str">
        <x:v>Shirsh Parashar</x:v>
      </x:c>
      <x:c r="C103" s="17" t="str">
        <x:v>28-Shirsh.Parashar@fiib.edu.in</x:v>
      </x:c>
      <x:c r="D103" s="17" t="str"/>
      <x:c r="E103" s="20" t="n">
        <x:v>0</x:v>
      </x:c>
      <x:c r="F103" s="20" t="n">
        <x:v>0</x:v>
      </x:c>
      <x:c r="G103" s="19" t="n">
        <x:v>0</x:v>
      </x:c>
      <x:c r="H103" s="18" t="n">
        <x:f>IF(E103&gt;0,E103+ROW()/100000,0)</x:f>
        <x:v>0</x:v>
      </x:c>
    </x:row>
    <x:row r="104">
      <x:c r="A104" s="21" t="str">
        <x:v>26PGDM151</x:v>
      </x:c>
      <x:c r="B104" s="17" t="str">
        <x:v>Shivanjali Saxena</x:v>
      </x:c>
      <x:c r="C104" s="17" t="str">
        <x:v>28-Shivanjali.Saxena@fiib.edu.in</x:v>
      </x:c>
      <x:c r="D104" s="17" t="str"/>
      <x:c r="E104" s="20" t="n">
        <x:v>0</x:v>
      </x:c>
      <x:c r="F104" s="20" t="n">
        <x:v>0</x:v>
      </x:c>
      <x:c r="G104" s="19" t="n">
        <x:v>0</x:v>
      </x:c>
      <x:c r="H104" s="18" t="n">
        <x:f>IF(E104&gt;0,E104+ROW()/100000,0)</x:f>
        <x:v>0</x:v>
      </x:c>
    </x:row>
    <x:row r="105">
      <x:c r="A105" s="21" t="str">
        <x:v>26PGDM152</x:v>
      </x:c>
      <x:c r="B105" s="17" t="str">
        <x:v>Sneha .</x:v>
      </x:c>
      <x:c r="C105" s="17" t="str">
        <x:v>28-Sneha.Sivastava@fiib.edu.in</x:v>
      </x:c>
      <x:c r="D105" s="17" t="str"/>
      <x:c r="E105" s="20" t="n">
        <x:v>0</x:v>
      </x:c>
      <x:c r="F105" s="20" t="n">
        <x:v>0</x:v>
      </x:c>
      <x:c r="G105" s="19" t="n">
        <x:v>0</x:v>
      </x:c>
      <x:c r="H105" s="18" t="n">
        <x:f>IF(E105&gt;0,E105+ROW()/100000,0)</x:f>
        <x:v>0</x:v>
      </x:c>
    </x:row>
    <x:row r="106">
      <x:c r="A106" s="21" t="str">
        <x:v>26PGDM153</x:v>
      </x:c>
      <x:c r="B106" s="17" t="str">
        <x:v>Tamanna Joshi</x:v>
      </x:c>
      <x:c r="C106" s="17" t="str">
        <x:v>28-Tamanna.Joshi@fiib.edu.in</x:v>
      </x:c>
      <x:c r="D106" s="17" t="str"/>
      <x:c r="E106" s="20" t="n">
        <x:v>0</x:v>
      </x:c>
      <x:c r="F106" s="20" t="n">
        <x:v>0</x:v>
      </x:c>
      <x:c r="G106" s="19" t="n">
        <x:v>0</x:v>
      </x:c>
      <x:c r="H106" s="18" t="n">
        <x:f>IF(E106&gt;0,E106+ROW()/100000,0)</x:f>
        <x:v>0</x:v>
      </x:c>
    </x:row>
    <x:row r="107">
      <x:c r="A107" s="21" t="str">
        <x:v>26PGDM154</x:v>
      </x:c>
      <x:c r="B107" s="17" t="str">
        <x:v>Umang Gupta</x:v>
      </x:c>
      <x:c r="C107" s="17" t="str">
        <x:v>28-Umang.Gupta@fiib.edu.in</x:v>
      </x:c>
      <x:c r="D107" s="17" t="str"/>
      <x:c r="E107" s="20" t="n">
        <x:v>0</x:v>
      </x:c>
      <x:c r="F107" s="20" t="n">
        <x:v>0</x:v>
      </x:c>
      <x:c r="G107" s="19" t="n">
        <x:v>0</x:v>
      </x:c>
      <x:c r="H107" s="18" t="n">
        <x:f>IF(E107&gt;0,E107+ROW()/100000,0)</x:f>
        <x:v>0</x:v>
      </x:c>
    </x:row>
    <x:row r="108">
      <x:c r="A108" s="21" t="str">
        <x:v>26PGDM155</x:v>
      </x:c>
      <x:c r="B108" s="17" t="str">
        <x:v>Vaibhav Chatterjee</x:v>
      </x:c>
      <x:c r="C108" s="17" t="str">
        <x:v>28-Vaibhav.Chatterjee@fiib.edu.in</x:v>
      </x:c>
      <x:c r="D108" s="17" t="str"/>
      <x:c r="E108" s="20" t="n">
        <x:v>0</x:v>
      </x:c>
      <x:c r="F108" s="20" t="n">
        <x:v>0</x:v>
      </x:c>
      <x:c r="G108" s="19" t="n">
        <x:v>0</x:v>
      </x:c>
      <x:c r="H108" s="18" t="n">
        <x:f>IF(E108&gt;0,E108+ROW()/100000,0)</x:f>
        <x:v>0</x:v>
      </x:c>
    </x:row>
    <x:row r="109">
      <x:c r="A109" s="21" t="str">
        <x:v>26PGDMFM001</x:v>
      </x:c>
      <x:c r="B109" s="17" t="str">
        <x:v>Aaditya .</x:v>
      </x:c>
      <x:c r="C109" s="17" t="str">
        <x:v>28-aaditya@fiib.edu.in</x:v>
      </x:c>
      <x:c r="D109" s="17" t="str"/>
      <x:c r="E109" s="20" t="n">
        <x:v>0</x:v>
      </x:c>
      <x:c r="F109" s="20" t="n">
        <x:v>0</x:v>
      </x:c>
      <x:c r="G109" s="19" t="n">
        <x:v>0</x:v>
      </x:c>
      <x:c r="H109" s="18" t="n">
        <x:f>IF(E109&gt;0,E109+ROW()/100000,0)</x:f>
        <x:v>0</x:v>
      </x:c>
    </x:row>
    <x:row r="110">
      <x:c r="A110" s="21" t="str">
        <x:v>26PGDMFM002</x:v>
      </x:c>
      <x:c r="B110" s="17" t="str">
        <x:v>Aarushi Verma</x:v>
      </x:c>
      <x:c r="C110" s="17" t="str">
        <x:v>28-Aarushi.Verma@fiib.edu.in</x:v>
      </x:c>
      <x:c r="D110" s="17" t="str"/>
      <x:c r="E110" s="20" t="n">
        <x:v>0</x:v>
      </x:c>
      <x:c r="F110" s="20" t="n">
        <x:v>0</x:v>
      </x:c>
      <x:c r="G110" s="19" t="n">
        <x:v>0</x:v>
      </x:c>
      <x:c r="H110" s="18" t="n">
        <x:f>IF(E110&gt;0,E110+ROW()/100000,0)</x:f>
        <x:v>0</x:v>
      </x:c>
    </x:row>
    <x:row r="111">
      <x:c r="A111" s="21" t="str">
        <x:v>26PGDMFM003</x:v>
      </x:c>
      <x:c r="B111" s="17" t="str">
        <x:v>Aditi Pandey</x:v>
      </x:c>
      <x:c r="C111" s="17" t="str">
        <x:v>28-Aditi.Pandey@fiib.edu.in</x:v>
      </x:c>
      <x:c r="D111" s="17" t="str"/>
      <x:c r="E111" s="20" t="n">
        <x:v>0</x:v>
      </x:c>
      <x:c r="F111" s="20" t="n">
        <x:v>0</x:v>
      </x:c>
      <x:c r="G111" s="19" t="n">
        <x:v>0</x:v>
      </x:c>
      <x:c r="H111" s="18" t="n">
        <x:f>IF(E111&gt;0,E111+ROW()/100000,0)</x:f>
        <x:v>0</x:v>
      </x:c>
    </x:row>
    <x:row r="112">
      <x:c r="A112" s="21" t="str">
        <x:v>26PGDMFM004</x:v>
      </x:c>
      <x:c r="B112" s="17" t="str">
        <x:v>Aditi Singh</x:v>
      </x:c>
      <x:c r="C112" s="17" t="str">
        <x:v>28-Aditi.Singh@fiib.edu.in</x:v>
      </x:c>
      <x:c r="D112" s="17" t="str"/>
      <x:c r="E112" s="20" t="n">
        <x:v>0</x:v>
      </x:c>
      <x:c r="F112" s="20" t="n">
        <x:v>0</x:v>
      </x:c>
      <x:c r="G112" s="19" t="n">
        <x:v>0</x:v>
      </x:c>
      <x:c r="H112" s="18" t="n">
        <x:f>IF(E112&gt;0,E112+ROW()/100000,0)</x:f>
        <x:v>0</x:v>
      </x:c>
    </x:row>
    <x:row r="113">
      <x:c r="A113" s="21" t="str">
        <x:v>26PGDMFM005</x:v>
      </x:c>
      <x:c r="B113" s="17" t="str">
        <x:v>Alka Mehta</x:v>
      </x:c>
      <x:c r="C113" s="17" t="str">
        <x:v>28-alka.mehta@fiib.edu.in</x:v>
      </x:c>
      <x:c r="D113" s="17" t="str"/>
      <x:c r="E113" s="20" t="n">
        <x:v>0</x:v>
      </x:c>
      <x:c r="F113" s="20" t="n">
        <x:v>0</x:v>
      </x:c>
      <x:c r="G113" s="19" t="n">
        <x:v>0</x:v>
      </x:c>
      <x:c r="H113" s="18" t="n">
        <x:f>IF(E113&gt;0,E113+ROW()/100000,0)</x:f>
        <x:v>0</x:v>
      </x:c>
    </x:row>
    <x:row r="114">
      <x:c r="A114" s="21" t="str">
        <x:v>26PGDMFM006</x:v>
      </x:c>
      <x:c r="B114" s="17" t="str">
        <x:v>Anand Mohapatra</x:v>
      </x:c>
      <x:c r="C114" s="17" t="str">
        <x:v>28-Anand.Mohapatra@fiib.edu.in</x:v>
      </x:c>
      <x:c r="D114" s="17" t="str"/>
      <x:c r="E114" s="20" t="n">
        <x:v>0</x:v>
      </x:c>
      <x:c r="F114" s="20" t="n">
        <x:v>0</x:v>
      </x:c>
      <x:c r="G114" s="19" t="n">
        <x:v>0</x:v>
      </x:c>
      <x:c r="H114" s="18" t="n">
        <x:f>IF(E114&gt;0,E114+ROW()/100000,0)</x:f>
        <x:v>0</x:v>
      </x:c>
    </x:row>
    <x:row r="115">
      <x:c r="A115" s="21" t="str">
        <x:v>26PGDMFM007</x:v>
      </x:c>
      <x:c r="B115" s="17" t="str">
        <x:v>Anuj Nautiyal</x:v>
      </x:c>
      <x:c r="C115" s="17" t="str">
        <x:v>28-Anuj.Nautiyal@fiib.edu.in</x:v>
      </x:c>
      <x:c r="D115" s="17" t="str"/>
      <x:c r="E115" s="20" t="n">
        <x:v>0</x:v>
      </x:c>
      <x:c r="F115" s="20" t="n">
        <x:v>0</x:v>
      </x:c>
      <x:c r="G115" s="19" t="n">
        <x:v>0</x:v>
      </x:c>
      <x:c r="H115" s="18" t="n">
        <x:f>IF(E115&gt;0,E115+ROW()/100000,0)</x:f>
        <x:v>0</x:v>
      </x:c>
    </x:row>
    <x:row r="116">
      <x:c r="A116" s="21" t="str">
        <x:v>26PGDMFM008</x:v>
      </x:c>
      <x:c r="B116" s="17" t="str">
        <x:v>Arav Singh</x:v>
      </x:c>
      <x:c r="C116" s="17" t="str">
        <x:v>28-Arav.Singh@fiib.edu.in</x:v>
      </x:c>
      <x:c r="D116" s="17" t="str"/>
      <x:c r="E116" s="20" t="n">
        <x:v>0</x:v>
      </x:c>
      <x:c r="F116" s="20" t="n">
        <x:v>0</x:v>
      </x:c>
      <x:c r="G116" s="19" t="n">
        <x:v>0</x:v>
      </x:c>
      <x:c r="H116" s="18" t="n">
        <x:f>IF(E116&gt;0,E116+ROW()/100000,0)</x:f>
        <x:v>0</x:v>
      </x:c>
    </x:row>
    <x:row r="117">
      <x:c r="A117" s="21" t="str">
        <x:v>26PGDMFM009</x:v>
      </x:c>
      <x:c r="B117" s="17" t="str">
        <x:v>Arnav Ahlawat</x:v>
      </x:c>
      <x:c r="C117" s="17" t="str">
        <x:v>28-Arnav.Ahlawat@fiib.edu.in</x:v>
      </x:c>
      <x:c r="D117" s="17" t="str"/>
      <x:c r="E117" s="20" t="n">
        <x:v>0</x:v>
      </x:c>
      <x:c r="F117" s="20" t="n">
        <x:v>0</x:v>
      </x:c>
      <x:c r="G117" s="19" t="n">
        <x:v>0</x:v>
      </x:c>
      <x:c r="H117" s="18" t="n">
        <x:f>IF(E117&gt;0,E117+ROW()/100000,0)</x:f>
        <x:v>0</x:v>
      </x:c>
    </x:row>
    <x:row r="118">
      <x:c r="A118" s="21" t="str">
        <x:v>26PGDMFM010</x:v>
      </x:c>
      <x:c r="B118" s="17" t="str">
        <x:v>Biswajeet Choudhury</x:v>
      </x:c>
      <x:c r="C118" s="17" t="str">
        <x:v>28-Biswajeet.Choudhury@fiib.edu.in</x:v>
      </x:c>
      <x:c r="D118" s="17" t="str"/>
      <x:c r="E118" s="20" t="n">
        <x:v>0</x:v>
      </x:c>
      <x:c r="F118" s="20" t="n">
        <x:v>0</x:v>
      </x:c>
      <x:c r="G118" s="19" t="n">
        <x:v>0</x:v>
      </x:c>
      <x:c r="H118" s="18" t="n">
        <x:f>IF(E118&gt;0,E118+ROW()/100000,0)</x:f>
        <x:v>0</x:v>
      </x:c>
    </x:row>
    <x:row r="119">
      <x:c r="A119" s="21" t="str">
        <x:v>26PGDMFM011</x:v>
      </x:c>
      <x:c r="B119" s="17" t="str">
        <x:v>Daksh Kumar</x:v>
      </x:c>
      <x:c r="C119" s="17" t="str">
        <x:v>28-Daksh.Kumar@fiib.edu.in</x:v>
      </x:c>
      <x:c r="D119" s="17" t="str"/>
      <x:c r="E119" s="20" t="n">
        <x:v>0</x:v>
      </x:c>
      <x:c r="F119" s="20" t="n">
        <x:v>0</x:v>
      </x:c>
      <x:c r="G119" s="19" t="n">
        <x:v>0</x:v>
      </x:c>
      <x:c r="H119" s="18" t="n">
        <x:f>IF(E119&gt;0,E119+ROW()/100000,0)</x:f>
        <x:v>0</x:v>
      </x:c>
    </x:row>
    <x:row r="120">
      <x:c r="A120" s="21" t="str">
        <x:v>26PGDMFM012</x:v>
      </x:c>
      <x:c r="B120" s="17" t="str">
        <x:v>Deepak Verma</x:v>
      </x:c>
      <x:c r="C120" s="17" t="str">
        <x:v>28-deepak.verma@fiib.edu.in</x:v>
      </x:c>
      <x:c r="D120" s="17" t="str"/>
      <x:c r="E120" s="20" t="n">
        <x:v>0</x:v>
      </x:c>
      <x:c r="F120" s="20" t="n">
        <x:v>0</x:v>
      </x:c>
      <x:c r="G120" s="19" t="n">
        <x:v>0</x:v>
      </x:c>
      <x:c r="H120" s="18" t="n">
        <x:f>IF(E120&gt;0,E120+ROW()/100000,0)</x:f>
        <x:v>0</x:v>
      </x:c>
    </x:row>
    <x:row r="121">
      <x:c r="A121" s="21" t="str">
        <x:v>26PGDMFM013</x:v>
      </x:c>
      <x:c r="B121" s="17" t="str">
        <x:v>Dewank Gupta</x:v>
      </x:c>
      <x:c r="C121" s="17" t="str">
        <x:v>28-Dewank.Gupta@fiib.edu.in</x:v>
      </x:c>
      <x:c r="D121" s="17" t="str"/>
      <x:c r="E121" s="20" t="n">
        <x:v>0</x:v>
      </x:c>
      <x:c r="F121" s="20" t="n">
        <x:v>0</x:v>
      </x:c>
      <x:c r="G121" s="19" t="n">
        <x:v>0</x:v>
      </x:c>
      <x:c r="H121" s="18" t="n">
        <x:f>IF(E121&gt;0,E121+ROW()/100000,0)</x:f>
        <x:v>0</x:v>
      </x:c>
    </x:row>
    <x:row r="122">
      <x:c r="A122" s="21" t="str">
        <x:v>26PGDMFM014</x:v>
      </x:c>
      <x:c r="B122" s="17" t="str">
        <x:v>Divya Kumar</x:v>
      </x:c>
      <x:c r="C122" s="17" t="str">
        <x:v>28-divya.kumar@fiib.edu.in</x:v>
      </x:c>
      <x:c r="D122" s="17" t="str"/>
      <x:c r="E122" s="20" t="n">
        <x:v>0</x:v>
      </x:c>
      <x:c r="F122" s="20" t="n">
        <x:v>0</x:v>
      </x:c>
      <x:c r="G122" s="19" t="n">
        <x:v>0</x:v>
      </x:c>
      <x:c r="H122" s="18" t="n">
        <x:f>IF(E122&gt;0,E122+ROW()/100000,0)</x:f>
        <x:v>0</x:v>
      </x:c>
    </x:row>
    <x:row r="123">
      <x:c r="A123" s="21" t="str">
        <x:v>26PGDMFM015</x:v>
      </x:c>
      <x:c r="B123" s="17" t="str">
        <x:v>Eshan Tandon</x:v>
      </x:c>
      <x:c r="C123" s="17" t="str">
        <x:v>28-Esha.Tandon@fiib.edu.in</x:v>
      </x:c>
      <x:c r="D123" s="17" t="str"/>
      <x:c r="E123" s="20" t="n">
        <x:v>0</x:v>
      </x:c>
      <x:c r="F123" s="20" t="n">
        <x:v>0</x:v>
      </x:c>
      <x:c r="G123" s="19" t="n">
        <x:v>0</x:v>
      </x:c>
      <x:c r="H123" s="18" t="n">
        <x:f>IF(E123&gt;0,E123+ROW()/100000,0)</x:f>
        <x:v>0</x:v>
      </x:c>
    </x:row>
    <x:row r="124">
      <x:c r="A124" s="21" t="str">
        <x:v>26PGDMFM016</x:v>
      </x:c>
      <x:c r="B124" s="17" t="str">
        <x:v>Garima Gupta</x:v>
      </x:c>
      <x:c r="C124" s="17" t="str">
        <x:v>28-garima.gupta@fiib.edu.in</x:v>
      </x:c>
      <x:c r="D124" s="17" t="str"/>
      <x:c r="E124" s="20" t="n">
        <x:v>0</x:v>
      </x:c>
      <x:c r="F124" s="20" t="n">
        <x:v>0</x:v>
      </x:c>
      <x:c r="G124" s="19" t="n">
        <x:v>0</x:v>
      </x:c>
      <x:c r="H124" s="18" t="n">
        <x:f>IF(E124&gt;0,E124+ROW()/100000,0)</x:f>
        <x:v>0</x:v>
      </x:c>
    </x:row>
    <x:row r="125">
      <x:c r="A125" s="21" t="str">
        <x:v>26PGDMFM017</x:v>
      </x:c>
      <x:c r="B125" s="17" t="str">
        <x:v>Isha Choudhary</x:v>
      </x:c>
      <x:c r="C125" s="17" t="str">
        <x:v>28-isha.choudhary@fiib.edu.in</x:v>
      </x:c>
      <x:c r="D125" s="17" t="str"/>
      <x:c r="E125" s="20" t="n">
        <x:v>0</x:v>
      </x:c>
      <x:c r="F125" s="20" t="n">
        <x:v>0</x:v>
      </x:c>
      <x:c r="G125" s="19" t="n">
        <x:v>0</x:v>
      </x:c>
      <x:c r="H125" s="18" t="n">
        <x:f>IF(E125&gt;0,E125+ROW()/100000,0)</x:f>
        <x:v>0</x:v>
      </x:c>
    </x:row>
    <x:row r="126">
      <x:c r="A126" s="21" t="str">
        <x:v>26PGDMFM018</x:v>
      </x:c>
      <x:c r="B126" s="17" t="str">
        <x:v>Janish -</x:v>
      </x:c>
      <x:c r="C126" s="17" t="str">
        <x:v>28-Janish@fiib.edu.in</x:v>
      </x:c>
      <x:c r="D126" s="17" t="str"/>
      <x:c r="E126" s="20" t="n">
        <x:v>0</x:v>
      </x:c>
      <x:c r="F126" s="20" t="n">
        <x:v>0</x:v>
      </x:c>
      <x:c r="G126" s="19" t="n">
        <x:v>0</x:v>
      </x:c>
      <x:c r="H126" s="18" t="n">
        <x:f>IF(E126&gt;0,E126+ROW()/100000,0)</x:f>
        <x:v>0</x:v>
      </x:c>
    </x:row>
    <x:row r="127">
      <x:c r="A127" s="21" t="str">
        <x:v>26PGDMFM019</x:v>
      </x:c>
      <x:c r="B127" s="17" t="str">
        <x:v>Janvi Gehija</x:v>
      </x:c>
      <x:c r="C127" s="17" t="str">
        <x:v>28-Janvi.Gehija@fiib.edu.in</x:v>
      </x:c>
      <x:c r="D127" s="17" t="str"/>
      <x:c r="E127" s="20" t="n">
        <x:v>0</x:v>
      </x:c>
      <x:c r="F127" s="20" t="n">
        <x:v>0</x:v>
      </x:c>
      <x:c r="G127" s="19" t="n">
        <x:v>0</x:v>
      </x:c>
      <x:c r="H127" s="18" t="n">
        <x:f>IF(E127&gt;0,E127+ROW()/100000,0)</x:f>
        <x:v>0</x:v>
      </x:c>
    </x:row>
    <x:row r="128">
      <x:c r="A128" s="21" t="str">
        <x:v>26PGDMFM020</x:v>
      </x:c>
      <x:c r="B128" s="17" t="str">
        <x:v>Jatin Kushwhaha</x:v>
      </x:c>
      <x:c r="C128" s="17" t="str">
        <x:v>28-Jatin.Kushwhaha@fiib.edu.in</x:v>
      </x:c>
      <x:c r="D128" s="17" t="str"/>
      <x:c r="E128" s="20" t="n">
        <x:v>0</x:v>
      </x:c>
      <x:c r="F128" s="20" t="n">
        <x:v>0</x:v>
      </x:c>
      <x:c r="G128" s="19" t="n">
        <x:v>0</x:v>
      </x:c>
      <x:c r="H128" s="18" t="n">
        <x:f>IF(E128&gt;0,E128+ROW()/100000,0)</x:f>
        <x:v>0</x:v>
      </x:c>
    </x:row>
    <x:row r="129">
      <x:c r="A129" s="21" t="str">
        <x:v>26PGDMFM021</x:v>
      </x:c>
      <x:c r="B129" s="17" t="str">
        <x:v>Krish Gupta</x:v>
      </x:c>
      <x:c r="C129" s="17" t="str">
        <x:v>28-Krish.Gupta@fiib.edu.in</x:v>
      </x:c>
      <x:c r="D129" s="17" t="str"/>
      <x:c r="E129" s="20" t="n">
        <x:v>0</x:v>
      </x:c>
      <x:c r="F129" s="20" t="n">
        <x:v>0</x:v>
      </x:c>
      <x:c r="G129" s="19" t="n">
        <x:v>0</x:v>
      </x:c>
      <x:c r="H129" s="18" t="n">
        <x:f>IF(E129&gt;0,E129+ROW()/100000,0)</x:f>
        <x:v>0</x:v>
      </x:c>
    </x:row>
    <x:row r="130">
      <x:c r="A130" s="21" t="str">
        <x:v>26PGDMFM022</x:v>
      </x:c>
      <x:c r="B130" s="17" t="str">
        <x:v>Krishnakant Agrawal</x:v>
      </x:c>
      <x:c r="C130" s="17" t="str">
        <x:v>28-Krishnakant.Agrawal@fiib.edu.in</x:v>
      </x:c>
      <x:c r="D130" s="17" t="str"/>
      <x:c r="E130" s="20" t="n">
        <x:v>0</x:v>
      </x:c>
      <x:c r="F130" s="20" t="n">
        <x:v>0</x:v>
      </x:c>
      <x:c r="G130" s="19" t="n">
        <x:v>0</x:v>
      </x:c>
      <x:c r="H130" s="18" t="n">
        <x:f>IF(E130&gt;0,E130+ROW()/100000,0)</x:f>
        <x:v>0</x:v>
      </x:c>
    </x:row>
    <x:row r="131">
      <x:c r="A131" s="21" t="str">
        <x:v>26PGDMFM023</x:v>
      </x:c>
      <x:c r="B131" s="17" t="str">
        <x:v>Mohammad Shakeb Alam</x:v>
      </x:c>
      <x:c r="C131" s="17" t="str">
        <x:v>28-mohammad.alam@fiib.edu.in</x:v>
      </x:c>
      <x:c r="D131" s="17" t="str"/>
      <x:c r="E131" s="20" t="n">
        <x:v>0</x:v>
      </x:c>
      <x:c r="F131" s="20" t="n">
        <x:v>0</x:v>
      </x:c>
      <x:c r="G131" s="19" t="n">
        <x:v>0</x:v>
      </x:c>
      <x:c r="H131" s="18" t="n">
        <x:f>IF(E131&gt;0,E131+ROW()/100000,0)</x:f>
        <x:v>0</x:v>
      </x:c>
    </x:row>
    <x:row r="132">
      <x:c r="A132" s="21" t="str">
        <x:v>26PGDMFM024</x:v>
      </x:c>
      <x:c r="B132" s="17" t="str">
        <x:v>Palak Bansal</x:v>
      </x:c>
      <x:c r="C132" s="17" t="str">
        <x:v>28-Palak.Bansal@fiib.edu.in</x:v>
      </x:c>
      <x:c r="D132" s="17" t="str"/>
      <x:c r="E132" s="20" t="n">
        <x:v>0</x:v>
      </x:c>
      <x:c r="F132" s="20" t="n">
        <x:v>0</x:v>
      </x:c>
      <x:c r="G132" s="19" t="n">
        <x:v>0</x:v>
      </x:c>
      <x:c r="H132" s="18" t="n">
        <x:f>IF(E132&gt;0,E132+ROW()/100000,0)</x:f>
        <x:v>0</x:v>
      </x:c>
    </x:row>
    <x:row r="133">
      <x:c r="A133" s="21" t="str">
        <x:v>26PGDMFM025</x:v>
      </x:c>
      <x:c r="B133" s="17" t="str">
        <x:v>Purvanshi Mittal</x:v>
      </x:c>
      <x:c r="C133" s="17" t="str">
        <x:v>28-purvanshi.mittal@fiib.edu.in</x:v>
      </x:c>
      <x:c r="D133" s="17" t="str"/>
      <x:c r="E133" s="20" t="n">
        <x:v>0</x:v>
      </x:c>
      <x:c r="F133" s="20" t="n">
        <x:v>0</x:v>
      </x:c>
      <x:c r="G133" s="19" t="n">
        <x:v>0</x:v>
      </x:c>
      <x:c r="H133" s="18" t="n">
        <x:f>IF(E133&gt;0,E133+ROW()/100000,0)</x:f>
        <x:v>0</x:v>
      </x:c>
    </x:row>
    <x:row r="134">
      <x:c r="A134" s="21" t="str">
        <x:v>26PGDMFM026</x:v>
      </x:c>
      <x:c r="B134" s="17" t="str">
        <x:v>Rahul Saxena</x:v>
      </x:c>
      <x:c r="C134" s="17" t="str">
        <x:v>28-Rahul.Saxena@fiib.edu.in</x:v>
      </x:c>
      <x:c r="D134" s="17" t="str"/>
      <x:c r="E134" s="20" t="n">
        <x:v>0</x:v>
      </x:c>
      <x:c r="F134" s="20" t="n">
        <x:v>0</x:v>
      </x:c>
      <x:c r="G134" s="19" t="n">
        <x:v>0</x:v>
      </x:c>
      <x:c r="H134" s="18" t="n">
        <x:f>IF(E134&gt;0,E134+ROW()/100000,0)</x:f>
        <x:v>0</x:v>
      </x:c>
    </x:row>
    <x:row r="135">
      <x:c r="A135" s="21" t="str">
        <x:v>26PGDMFM027</x:v>
      </x:c>
      <x:c r="B135" s="17" t="str">
        <x:v>Rashi Singh</x:v>
      </x:c>
      <x:c r="C135" s="17" t="str">
        <x:v>28-Rashi.Singh@fiib.edu.in</x:v>
      </x:c>
      <x:c r="D135" s="17" t="str"/>
      <x:c r="E135" s="20" t="n">
        <x:v>0</x:v>
      </x:c>
      <x:c r="F135" s="20" t="n">
        <x:v>0</x:v>
      </x:c>
      <x:c r="G135" s="19" t="n">
        <x:v>0</x:v>
      </x:c>
      <x:c r="H135" s="18" t="n">
        <x:f>IF(E135&gt;0,E135+ROW()/100000,0)</x:f>
        <x:v>0</x:v>
      </x:c>
    </x:row>
    <x:row r="136">
      <x:c r="A136" s="21" t="str">
        <x:v>26PGDMFM028</x:v>
      </x:c>
      <x:c r="B136" s="17" t="str">
        <x:v>Sachin Kashiv</x:v>
      </x:c>
      <x:c r="C136" s="17" t="str">
        <x:v>28-Sachin.Kashiv@fiib.edu.in</x:v>
      </x:c>
      <x:c r="D136" s="17" t="str"/>
      <x:c r="E136" s="20" t="n">
        <x:v>0</x:v>
      </x:c>
      <x:c r="F136" s="20" t="n">
        <x:v>0</x:v>
      </x:c>
      <x:c r="G136" s="19" t="n">
        <x:v>0</x:v>
      </x:c>
      <x:c r="H136" s="18" t="n">
        <x:f>IF(E136&gt;0,E136+ROW()/100000,0)</x:f>
        <x:v>0</x:v>
      </x:c>
    </x:row>
    <x:row r="137">
      <x:c r="A137" s="21" t="str">
        <x:v>26PGDMFM029</x:v>
      </x:c>
      <x:c r="B137" s="17" t="str">
        <x:v>Sahil -</x:v>
      </x:c>
      <x:c r="C137" s="17" t="str">
        <x:v>28-Sahil@fiib.edu.in</x:v>
      </x:c>
      <x:c r="D137" s="17" t="str"/>
      <x:c r="E137" s="20" t="n">
        <x:v>0</x:v>
      </x:c>
      <x:c r="F137" s="20" t="n">
        <x:v>0</x:v>
      </x:c>
      <x:c r="G137" s="19" t="n">
        <x:v>0</x:v>
      </x:c>
      <x:c r="H137" s="18" t="n">
        <x:f>IF(E137&gt;0,E137+ROW()/100000,0)</x:f>
        <x:v>0</x:v>
      </x:c>
    </x:row>
    <x:row r="138">
      <x:c r="A138" s="21" t="str">
        <x:v>26PGDMFM030</x:v>
      </x:c>
      <x:c r="B138" s="17" t="str">
        <x:v>Samridhi Rai</x:v>
      </x:c>
      <x:c r="C138" s="17" t="str">
        <x:v>28-Samridhi.Rai@fiib.edu.in</x:v>
      </x:c>
      <x:c r="D138" s="17" t="str"/>
      <x:c r="E138" s="20" t="n">
        <x:v>0</x:v>
      </x:c>
      <x:c r="F138" s="20" t="n">
        <x:v>0</x:v>
      </x:c>
      <x:c r="G138" s="19" t="n">
        <x:v>0</x:v>
      </x:c>
      <x:c r="H138" s="18" t="n">
        <x:f>IF(E138&gt;0,E138+ROW()/100000,0)</x:f>
        <x:v>0</x:v>
      </x:c>
    </x:row>
    <x:row r="139">
      <x:c r="A139" s="21" t="str">
        <x:v>26PGDMFM031</x:v>
      </x:c>
      <x:c r="B139" s="17" t="str">
        <x:v>Sanyam Agrawal</x:v>
      </x:c>
      <x:c r="C139" s="17" t="str">
        <x:v>28-Sanyam.Agrawal@fiib.edu.in</x:v>
      </x:c>
      <x:c r="D139" s="17" t="str"/>
      <x:c r="E139" s="20" t="n">
        <x:v>0</x:v>
      </x:c>
      <x:c r="F139" s="20" t="n">
        <x:v>0</x:v>
      </x:c>
      <x:c r="G139" s="19" t="n">
        <x:v>0</x:v>
      </x:c>
      <x:c r="H139" s="18" t="n">
        <x:f>IF(E139&gt;0,E139+ROW()/100000,0)</x:f>
        <x:v>0</x:v>
      </x:c>
    </x:row>
    <x:row r="140">
      <x:c r="A140" s="21" t="str">
        <x:v>26PGDMFM032</x:v>
      </x:c>
      <x:c r="B140" s="17" t="str">
        <x:v>Sarthak Mishra</x:v>
      </x:c>
      <x:c r="C140" s="17" t="str">
        <x:v>28-Sarthak.Mishra@fiib.edu.in</x:v>
      </x:c>
      <x:c r="D140" s="17" t="str"/>
      <x:c r="E140" s="20" t="n">
        <x:v>0</x:v>
      </x:c>
      <x:c r="F140" s="20" t="n">
        <x:v>0</x:v>
      </x:c>
      <x:c r="G140" s="19" t="n">
        <x:v>0</x:v>
      </x:c>
      <x:c r="H140" s="18" t="n">
        <x:f>IF(E140&gt;0,E140+ROW()/100000,0)</x:f>
        <x:v>0</x:v>
      </x:c>
    </x:row>
    <x:row r="141">
      <x:c r="A141" s="21" t="str">
        <x:v>26PGDMFM033</x:v>
      </x:c>
      <x:c r="B141" s="17" t="str">
        <x:v>Shuchi Sharma</x:v>
      </x:c>
      <x:c r="C141" s="17" t="str">
        <x:v>28-Shuchi.Sharma@fiib.edu.in</x:v>
      </x:c>
      <x:c r="D141" s="17" t="str"/>
      <x:c r="E141" s="20" t="n">
        <x:v>0</x:v>
      </x:c>
      <x:c r="F141" s="20" t="n">
        <x:v>0</x:v>
      </x:c>
      <x:c r="G141" s="19" t="n">
        <x:v>0</x:v>
      </x:c>
      <x:c r="H141" s="18" t="n">
        <x:f>IF(E141&gt;0,E141+ROW()/100000,0)</x:f>
        <x:v>0</x:v>
      </x:c>
    </x:row>
    <x:row r="142">
      <x:c r="A142" s="21" t="str">
        <x:v>26PGDMFM034</x:v>
      </x:c>
      <x:c r="B142" s="17" t="str">
        <x:v>Sourav Yadav</x:v>
      </x:c>
      <x:c r="C142" s="17" t="str">
        <x:v>28-sourav.yadav@fiib.edu.in</x:v>
      </x:c>
      <x:c r="D142" s="17" t="str"/>
      <x:c r="E142" s="20" t="n">
        <x:v>0</x:v>
      </x:c>
      <x:c r="F142" s="20" t="n">
        <x:v>0</x:v>
      </x:c>
      <x:c r="G142" s="19" t="n">
        <x:v>0</x:v>
      </x:c>
      <x:c r="H142" s="18" t="n">
        <x:f>IF(E142&gt;0,E142+ROW()/100000,0)</x:f>
        <x:v>0</x:v>
      </x:c>
    </x:row>
    <x:row r="143">
      <x:c r="A143" s="21" t="str">
        <x:v>26PGDMFM035</x:v>
      </x:c>
      <x:c r="B143" s="17" t="str">
        <x:v>Sristi Singh</x:v>
      </x:c>
      <x:c r="C143" s="17" t="str">
        <x:v>28-Sristi.Singh@fiib.edu.in</x:v>
      </x:c>
      <x:c r="D143" s="17" t="str"/>
      <x:c r="E143" s="20" t="n">
        <x:v>0</x:v>
      </x:c>
      <x:c r="F143" s="20" t="n">
        <x:v>0</x:v>
      </x:c>
      <x:c r="G143" s="19" t="n">
        <x:v>0</x:v>
      </x:c>
      <x:c r="H143" s="18" t="n">
        <x:f>IF(E143&gt;0,E143+ROW()/100000,0)</x:f>
        <x:v>0</x:v>
      </x:c>
    </x:row>
    <x:row r="144">
      <x:c r="A144" s="21" t="str">
        <x:v>26PGDMFM036</x:v>
      </x:c>
      <x:c r="B144" s="17" t="str">
        <x:v>Suhani Srivastava</x:v>
      </x:c>
      <x:c r="C144" s="17" t="str">
        <x:v>28-suhani.srivastava@fiib.edu.in</x:v>
      </x:c>
      <x:c r="D144" s="17" t="str"/>
      <x:c r="E144" s="20" t="n">
        <x:v>0</x:v>
      </x:c>
      <x:c r="F144" s="20" t="n">
        <x:v>0</x:v>
      </x:c>
      <x:c r="G144" s="19" t="n">
        <x:v>0</x:v>
      </x:c>
      <x:c r="H144" s="18" t="n">
        <x:f>IF(E144&gt;0,E144+ROW()/100000,0)</x:f>
        <x:v>0</x:v>
      </x:c>
    </x:row>
    <x:row r="145">
      <x:c r="A145" s="21" t="str">
        <x:v>26PGDMFM037</x:v>
      </x:c>
      <x:c r="B145" s="17" t="str">
        <x:v>Sujal Bansal</x:v>
      </x:c>
      <x:c r="C145" s="17" t="str">
        <x:v>28-Sujal.Bansal@fiib.edu.in</x:v>
      </x:c>
      <x:c r="D145" s="17" t="str"/>
      <x:c r="E145" s="20" t="n">
        <x:v>0</x:v>
      </x:c>
      <x:c r="F145" s="20" t="n">
        <x:v>0</x:v>
      </x:c>
      <x:c r="G145" s="19" t="n">
        <x:v>0</x:v>
      </x:c>
      <x:c r="H145" s="18" t="n">
        <x:f>IF(E145&gt;0,E145+ROW()/100000,0)</x:f>
        <x:v>0</x:v>
      </x:c>
    </x:row>
    <x:row r="146">
      <x:c r="A146" s="21" t="str">
        <x:v>26PGDMFM038</x:v>
      </x:c>
      <x:c r="B146" s="17" t="str">
        <x:v>Suryansh Gupta</x:v>
      </x:c>
      <x:c r="C146" s="17" t="str">
        <x:v>28-suryansh.gupta@fiib.edu.in</x:v>
      </x:c>
      <x:c r="D146" s="17" t="str"/>
      <x:c r="E146" s="20" t="n">
        <x:v>0</x:v>
      </x:c>
      <x:c r="F146" s="20" t="n">
        <x:v>0</x:v>
      </x:c>
      <x:c r="G146" s="19" t="n">
        <x:v>0</x:v>
      </x:c>
      <x:c r="H146" s="18" t="n">
        <x:f>IF(E146&gt;0,E146+ROW()/100000,0)</x:f>
        <x:v>0</x:v>
      </x:c>
    </x:row>
    <x:row r="147">
      <x:c r="A147" s="21" t="str">
        <x:v>26PGDMFM039</x:v>
      </x:c>
      <x:c r="B147" s="17" t="str">
        <x:v>Tanishq Anand</x:v>
      </x:c>
      <x:c r="C147" s="17" t="str">
        <x:v>28-Tanishq.Anand@fiib.edu.in</x:v>
      </x:c>
      <x:c r="D147" s="17" t="str"/>
      <x:c r="E147" s="20" t="n">
        <x:v>0</x:v>
      </x:c>
      <x:c r="F147" s="20" t="n">
        <x:v>0</x:v>
      </x:c>
      <x:c r="G147" s="19" t="n">
        <x:v>0</x:v>
      </x:c>
      <x:c r="H147" s="18" t="n">
        <x:f>IF(E147&gt;0,E147+ROW()/100000,0)</x:f>
        <x:v>0</x:v>
      </x:c>
    </x:row>
    <x:row r="148">
      <x:c r="A148" s="21" t="str">
        <x:v>26PGDMFM040</x:v>
      </x:c>
      <x:c r="B148" s="17" t="str">
        <x:v>Vikrant Govind Rao</x:v>
      </x:c>
      <x:c r="C148" s="17" t="str">
        <x:v>28-Vikrant.Rao@fiib.edu.in</x:v>
      </x:c>
      <x:c r="D148" s="17" t="str"/>
      <x:c r="E148" s="20" t="n">
        <x:v>0</x:v>
      </x:c>
      <x:c r="F148" s="20" t="n">
        <x:v>0</x:v>
      </x:c>
      <x:c r="G148" s="19" t="n">
        <x:v>0</x:v>
      </x:c>
      <x:c r="H148" s="18" t="n">
        <x:f>IF(E148&gt;0,E148+ROW()/100000,0)</x:f>
        <x:v>0</x:v>
      </x:c>
    </x:row>
    <x:row r="149">
      <x:c r="A149" s="21" t="str">
        <x:v>26PGDMFM041</x:v>
      </x:c>
      <x:c r="B149" s="17" t="str">
        <x:v>Mayank Bisht</x:v>
      </x:c>
      <x:c r="C149" s="17" t="str">
        <x:v>28-mayank.bisht@fiib.edu.in</x:v>
      </x:c>
      <x:c r="D149" s="17" t="str"/>
      <x:c r="E149" s="20" t="n">
        <x:v>0</x:v>
      </x:c>
      <x:c r="F149" s="20" t="n">
        <x:v>0</x:v>
      </x:c>
      <x:c r="G149" s="19" t="n">
        <x:v>0</x:v>
      </x:c>
      <x:c r="H149" s="18" t="n">
        <x:f>IF(E149&gt;0,E149+ROW()/100000,0)</x:f>
        <x:v>0</x:v>
      </x:c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2" t="str">
        <x:v>🏆 ZIP AHEAD — 2026-28 Leaderboard</x:v>
      </x:c>
      <x:c r="B1" s="2"/>
      <x:c r="C1" s="2"/>
      <x:c r="D1" s="2"/>
      <x:c r="E1" s="2"/>
      <x:c r="F1" s="2"/>
    </x:row>
    <x:row r="2">
      <x:c r="A2" s="5" t="str">
        <x:v>Top 10 students by total score across submitted questions</x:v>
      </x:c>
      <x:c r="B2" s="5"/>
      <x:c r="C2" s="5"/>
      <x:c r="D2" s="5"/>
      <x:c r="E2" s="5"/>
      <x:c r="F2" s="5"/>
    </x:row>
    <x:row r="4" ht="34" customHeight="1">
      <x:c r="A4" s="13" t="str">
        <x:v>Rank</x:v>
      </x:c>
      <x:c r="B4" s="13" t="str">
        <x:v>Roll Number</x:v>
      </x:c>
      <x:c r="C4" s="13" t="str">
        <x:v>Name</x:v>
      </x:c>
      <x:c r="D4" s="13" t="str">
        <x:v>Total Score</x:v>
      </x:c>
      <x:c r="E4" s="13" t="str">
        <x:v>Average Score</x:v>
      </x:c>
      <x:c r="F4" s="13" t="str">
        <x:v>Questions Answered</x:v>
      </x:c>
    </x:row>
    <x:row r="5">
      <x:c r="A5" s="28" t="n">
        <x:v>1</x:v>
      </x:c>
      <x:c r="B5" s="25" t="str">
        <x:f>IFERROR(IF(LARGE('Student Tracker'!$H$6:$H$149,1)&lt;=0,"",INDEX('Student Tracker'!$A$6:$A$149,MATCH(LARGE('Student Tracker'!$H$6:$H$149,1),'Student Tracker'!$H$6:$H$149,0))),"")</x:f>
      </x:c>
      <x:c r="C5" s="25" t="str">
        <x:f>IFERROR(IF(LARGE('Student Tracker'!$H$6:$H$149,1)&lt;=0,"",INDEX('Student Tracker'!$B$6:$B$149,MATCH(LARGE('Student Tracker'!$H$6:$H$149,1),'Student Tracker'!$H$6:$H$149,0))),"")</x:f>
      </x:c>
      <x:c r="D5" s="30" t="str">
        <x:f>IFERROR(IF(LARGE('Student Tracker'!$H$6:$H$149,1)&lt;=0,"",INDEX('Student Tracker'!$E$6:$E$149,MATCH(LARGE('Student Tracker'!$H$6:$H$149,1),'Student Tracker'!$H$6:$H$149,0))),"")</x:f>
      </x:c>
      <x:c r="E5" s="30" t="str">
        <x:f>IFERROR(IF(LARGE('Student Tracker'!$H$6:$H$149,1)&lt;=0,"",INDEX('Student Tracker'!$F$6:$F$149,MATCH(LARGE('Student Tracker'!$H$6:$H$149,1),'Student Tracker'!$H$6:$H$149,0))),"")</x:f>
      </x:c>
      <x:c r="F5" s="29" t="str">
        <x:f>IFERROR(IF(LARGE('Student Tracker'!$H$6:$H$149,1)&lt;=0,"",INDEX('Student Tracker'!$G$6:$G$149,MATCH(LARGE('Student Tracker'!$H$6:$H$149,1),'Student Tracker'!$H$6:$H$149,0))),"")</x:f>
      </x:c>
    </x:row>
    <x:row r="6">
      <x:c r="A6" s="28" t="n">
        <x:v>2</x:v>
      </x:c>
      <x:c r="B6" s="25" t="str">
        <x:f>IFERROR(IF(LARGE('Student Tracker'!$H$6:$H$149,2)&lt;=0,"",INDEX('Student Tracker'!$A$6:$A$149,MATCH(LARGE('Student Tracker'!$H$6:$H$149,2),'Student Tracker'!$H$6:$H$149,0))),"")</x:f>
      </x:c>
      <x:c r="C6" s="25" t="str">
        <x:f>IFERROR(IF(LARGE('Student Tracker'!$H$6:$H$149,2)&lt;=0,"",INDEX('Student Tracker'!$B$6:$B$149,MATCH(LARGE('Student Tracker'!$H$6:$H$149,2),'Student Tracker'!$H$6:$H$149,0))),"")</x:f>
      </x:c>
      <x:c r="D6" s="30" t="str">
        <x:f>IFERROR(IF(LARGE('Student Tracker'!$H$6:$H$149,2)&lt;=0,"",INDEX('Student Tracker'!$E$6:$E$149,MATCH(LARGE('Student Tracker'!$H$6:$H$149,2),'Student Tracker'!$H$6:$H$149,0))),"")</x:f>
      </x:c>
      <x:c r="E6" s="30" t="str">
        <x:f>IFERROR(IF(LARGE('Student Tracker'!$H$6:$H$149,2)&lt;=0,"",INDEX('Student Tracker'!$F$6:$F$149,MATCH(LARGE('Student Tracker'!$H$6:$H$149,2),'Student Tracker'!$H$6:$H$149,0))),"")</x:f>
      </x:c>
      <x:c r="F6" s="29" t="str">
        <x:f>IFERROR(IF(LARGE('Student Tracker'!$H$6:$H$149,2)&lt;=0,"",INDEX('Student Tracker'!$G$6:$G$149,MATCH(LARGE('Student Tracker'!$H$6:$H$149,2),'Student Tracker'!$H$6:$H$149,0))),"")</x:f>
      </x:c>
    </x:row>
    <x:row r="7">
      <x:c r="A7" s="28" t="n">
        <x:v>3</x:v>
      </x:c>
      <x:c r="B7" s="25" t="str">
        <x:f>IFERROR(IF(LARGE('Student Tracker'!$H$6:$H$149,3)&lt;=0,"",INDEX('Student Tracker'!$A$6:$A$149,MATCH(LARGE('Student Tracker'!$H$6:$H$149,3),'Student Tracker'!$H$6:$H$149,0))),"")</x:f>
      </x:c>
      <x:c r="C7" s="25" t="str">
        <x:f>IFERROR(IF(LARGE('Student Tracker'!$H$6:$H$149,3)&lt;=0,"",INDEX('Student Tracker'!$B$6:$B$149,MATCH(LARGE('Student Tracker'!$H$6:$H$149,3),'Student Tracker'!$H$6:$H$149,0))),"")</x:f>
      </x:c>
      <x:c r="D7" s="30" t="str">
        <x:f>IFERROR(IF(LARGE('Student Tracker'!$H$6:$H$149,3)&lt;=0,"",INDEX('Student Tracker'!$E$6:$E$149,MATCH(LARGE('Student Tracker'!$H$6:$H$149,3),'Student Tracker'!$H$6:$H$149,0))),"")</x:f>
      </x:c>
      <x:c r="E7" s="30" t="str">
        <x:f>IFERROR(IF(LARGE('Student Tracker'!$H$6:$H$149,3)&lt;=0,"",INDEX('Student Tracker'!$F$6:$F$149,MATCH(LARGE('Student Tracker'!$H$6:$H$149,3),'Student Tracker'!$H$6:$H$149,0))),"")</x:f>
      </x:c>
      <x:c r="F7" s="29" t="str">
        <x:f>IFERROR(IF(LARGE('Student Tracker'!$H$6:$H$149,3)&lt;=0,"",INDEX('Student Tracker'!$G$6:$G$149,MATCH(LARGE('Student Tracker'!$H$6:$H$149,3),'Student Tracker'!$H$6:$H$149,0))),"")</x:f>
      </x:c>
    </x:row>
    <x:row r="8">
      <x:c r="A8" s="28" t="n">
        <x:v>4</x:v>
      </x:c>
      <x:c r="B8" s="25" t="str">
        <x:f>IFERROR(IF(LARGE('Student Tracker'!$H$6:$H$149,4)&lt;=0,"",INDEX('Student Tracker'!$A$6:$A$149,MATCH(LARGE('Student Tracker'!$H$6:$H$149,4),'Student Tracker'!$H$6:$H$149,0))),"")</x:f>
      </x:c>
      <x:c r="C8" s="25" t="str">
        <x:f>IFERROR(IF(LARGE('Student Tracker'!$H$6:$H$149,4)&lt;=0,"",INDEX('Student Tracker'!$B$6:$B$149,MATCH(LARGE('Student Tracker'!$H$6:$H$149,4),'Student Tracker'!$H$6:$H$149,0))),"")</x:f>
      </x:c>
      <x:c r="D8" s="30" t="str">
        <x:f>IFERROR(IF(LARGE('Student Tracker'!$H$6:$H$149,4)&lt;=0,"",INDEX('Student Tracker'!$E$6:$E$149,MATCH(LARGE('Student Tracker'!$H$6:$H$149,4),'Student Tracker'!$H$6:$H$149,0))),"")</x:f>
      </x:c>
      <x:c r="E8" s="30" t="str">
        <x:f>IFERROR(IF(LARGE('Student Tracker'!$H$6:$H$149,4)&lt;=0,"",INDEX('Student Tracker'!$F$6:$F$149,MATCH(LARGE('Student Tracker'!$H$6:$H$149,4),'Student Tracker'!$H$6:$H$149,0))),"")</x:f>
      </x:c>
      <x:c r="F8" s="29" t="str">
        <x:f>IFERROR(IF(LARGE('Student Tracker'!$H$6:$H$149,4)&lt;=0,"",INDEX('Student Tracker'!$G$6:$G$149,MATCH(LARGE('Student Tracker'!$H$6:$H$149,4),'Student Tracker'!$H$6:$H$149,0))),"")</x:f>
      </x:c>
    </x:row>
    <x:row r="9">
      <x:c r="A9" s="28" t="n">
        <x:v>5</x:v>
      </x:c>
      <x:c r="B9" s="25" t="str">
        <x:f>IFERROR(IF(LARGE('Student Tracker'!$H$6:$H$149,5)&lt;=0,"",INDEX('Student Tracker'!$A$6:$A$149,MATCH(LARGE('Student Tracker'!$H$6:$H$149,5),'Student Tracker'!$H$6:$H$149,0))),"")</x:f>
      </x:c>
      <x:c r="C9" s="25" t="str">
        <x:f>IFERROR(IF(LARGE('Student Tracker'!$H$6:$H$149,5)&lt;=0,"",INDEX('Student Tracker'!$B$6:$B$149,MATCH(LARGE('Student Tracker'!$H$6:$H$149,5),'Student Tracker'!$H$6:$H$149,0))),"")</x:f>
      </x:c>
      <x:c r="D9" s="30" t="str">
        <x:f>IFERROR(IF(LARGE('Student Tracker'!$H$6:$H$149,5)&lt;=0,"",INDEX('Student Tracker'!$E$6:$E$149,MATCH(LARGE('Student Tracker'!$H$6:$H$149,5),'Student Tracker'!$H$6:$H$149,0))),"")</x:f>
      </x:c>
      <x:c r="E9" s="30" t="str">
        <x:f>IFERROR(IF(LARGE('Student Tracker'!$H$6:$H$149,5)&lt;=0,"",INDEX('Student Tracker'!$F$6:$F$149,MATCH(LARGE('Student Tracker'!$H$6:$H$149,5),'Student Tracker'!$H$6:$H$149,0))),"")</x:f>
      </x:c>
      <x:c r="F9" s="29" t="str">
        <x:f>IFERROR(IF(LARGE('Student Tracker'!$H$6:$H$149,5)&lt;=0,"",INDEX('Student Tracker'!$G$6:$G$149,MATCH(LARGE('Student Tracker'!$H$6:$H$149,5),'Student Tracker'!$H$6:$H$149,0))),"")</x:f>
      </x:c>
    </x:row>
    <x:row r="10">
      <x:c r="A10" s="28" t="n">
        <x:v>6</x:v>
      </x:c>
      <x:c r="B10" s="25" t="str">
        <x:f>IFERROR(IF(LARGE('Student Tracker'!$H$6:$H$149,6)&lt;=0,"",INDEX('Student Tracker'!$A$6:$A$149,MATCH(LARGE('Student Tracker'!$H$6:$H$149,6),'Student Tracker'!$H$6:$H$149,0))),"")</x:f>
      </x:c>
      <x:c r="C10" s="25" t="str">
        <x:f>IFERROR(IF(LARGE('Student Tracker'!$H$6:$H$149,6)&lt;=0,"",INDEX('Student Tracker'!$B$6:$B$149,MATCH(LARGE('Student Tracker'!$H$6:$H$149,6),'Student Tracker'!$H$6:$H$149,0))),"")</x:f>
      </x:c>
      <x:c r="D10" s="30" t="str">
        <x:f>IFERROR(IF(LARGE('Student Tracker'!$H$6:$H$149,6)&lt;=0,"",INDEX('Student Tracker'!$E$6:$E$149,MATCH(LARGE('Student Tracker'!$H$6:$H$149,6),'Student Tracker'!$H$6:$H$149,0))),"")</x:f>
      </x:c>
      <x:c r="E10" s="30" t="str">
        <x:f>IFERROR(IF(LARGE('Student Tracker'!$H$6:$H$149,6)&lt;=0,"",INDEX('Student Tracker'!$F$6:$F$149,MATCH(LARGE('Student Tracker'!$H$6:$H$149,6),'Student Tracker'!$H$6:$H$149,0))),"")</x:f>
      </x:c>
      <x:c r="F10" s="29" t="str">
        <x:f>IFERROR(IF(LARGE('Student Tracker'!$H$6:$H$149,6)&lt;=0,"",INDEX('Student Tracker'!$G$6:$G$149,MATCH(LARGE('Student Tracker'!$H$6:$H$149,6),'Student Tracker'!$H$6:$H$149,0))),"")</x:f>
      </x:c>
    </x:row>
    <x:row r="11">
      <x:c r="A11" s="28" t="n">
        <x:v>7</x:v>
      </x:c>
      <x:c r="B11" s="25" t="str">
        <x:f>IFERROR(IF(LARGE('Student Tracker'!$H$6:$H$149,7)&lt;=0,"",INDEX('Student Tracker'!$A$6:$A$149,MATCH(LARGE('Student Tracker'!$H$6:$H$149,7),'Student Tracker'!$H$6:$H$149,0))),"")</x:f>
      </x:c>
      <x:c r="C11" s="25" t="str">
        <x:f>IFERROR(IF(LARGE('Student Tracker'!$H$6:$H$149,7)&lt;=0,"",INDEX('Student Tracker'!$B$6:$B$149,MATCH(LARGE('Student Tracker'!$H$6:$H$149,7),'Student Tracker'!$H$6:$H$149,0))),"")</x:f>
      </x:c>
      <x:c r="D11" s="30" t="str">
        <x:f>IFERROR(IF(LARGE('Student Tracker'!$H$6:$H$149,7)&lt;=0,"",INDEX('Student Tracker'!$E$6:$E$149,MATCH(LARGE('Student Tracker'!$H$6:$H$149,7),'Student Tracker'!$H$6:$H$149,0))),"")</x:f>
      </x:c>
      <x:c r="E11" s="30" t="str">
        <x:f>IFERROR(IF(LARGE('Student Tracker'!$H$6:$H$149,7)&lt;=0,"",INDEX('Student Tracker'!$F$6:$F$149,MATCH(LARGE('Student Tracker'!$H$6:$H$149,7),'Student Tracker'!$H$6:$H$149,0))),"")</x:f>
      </x:c>
      <x:c r="F11" s="29" t="str">
        <x:f>IFERROR(IF(LARGE('Student Tracker'!$H$6:$H$149,7)&lt;=0,"",INDEX('Student Tracker'!$G$6:$G$149,MATCH(LARGE('Student Tracker'!$H$6:$H$149,7),'Student Tracker'!$H$6:$H$149,0))),"")</x:f>
      </x:c>
    </x:row>
    <x:row r="12">
      <x:c r="A12" s="28" t="n">
        <x:v>8</x:v>
      </x:c>
      <x:c r="B12" s="25" t="str">
        <x:f>IFERROR(IF(LARGE('Student Tracker'!$H$6:$H$149,8)&lt;=0,"",INDEX('Student Tracker'!$A$6:$A$149,MATCH(LARGE('Student Tracker'!$H$6:$H$149,8),'Student Tracker'!$H$6:$H$149,0))),"")</x:f>
      </x:c>
      <x:c r="C12" s="25" t="str">
        <x:f>IFERROR(IF(LARGE('Student Tracker'!$H$6:$H$149,8)&lt;=0,"",INDEX('Student Tracker'!$B$6:$B$149,MATCH(LARGE('Student Tracker'!$H$6:$H$149,8),'Student Tracker'!$H$6:$H$149,0))),"")</x:f>
      </x:c>
      <x:c r="D12" s="30" t="str">
        <x:f>IFERROR(IF(LARGE('Student Tracker'!$H$6:$H$149,8)&lt;=0,"",INDEX('Student Tracker'!$E$6:$E$149,MATCH(LARGE('Student Tracker'!$H$6:$H$149,8),'Student Tracker'!$H$6:$H$149,0))),"")</x:f>
      </x:c>
      <x:c r="E12" s="30" t="str">
        <x:f>IFERROR(IF(LARGE('Student Tracker'!$H$6:$H$149,8)&lt;=0,"",INDEX('Student Tracker'!$F$6:$F$149,MATCH(LARGE('Student Tracker'!$H$6:$H$149,8),'Student Tracker'!$H$6:$H$149,0))),"")</x:f>
      </x:c>
      <x:c r="F12" s="29" t="str">
        <x:f>IFERROR(IF(LARGE('Student Tracker'!$H$6:$H$149,8)&lt;=0,"",INDEX('Student Tracker'!$G$6:$G$149,MATCH(LARGE('Student Tracker'!$H$6:$H$149,8),'Student Tracker'!$H$6:$H$149,0))),"")</x:f>
      </x:c>
    </x:row>
    <x:row r="13">
      <x:c r="A13" s="28" t="n">
        <x:v>9</x:v>
      </x:c>
      <x:c r="B13" s="25" t="str">
        <x:f>IFERROR(IF(LARGE('Student Tracker'!$H$6:$H$149,9)&lt;=0,"",INDEX('Student Tracker'!$A$6:$A$149,MATCH(LARGE('Student Tracker'!$H$6:$H$149,9),'Student Tracker'!$H$6:$H$149,0))),"")</x:f>
      </x:c>
      <x:c r="C13" s="25" t="str">
        <x:f>IFERROR(IF(LARGE('Student Tracker'!$H$6:$H$149,9)&lt;=0,"",INDEX('Student Tracker'!$B$6:$B$149,MATCH(LARGE('Student Tracker'!$H$6:$H$149,9),'Student Tracker'!$H$6:$H$149,0))),"")</x:f>
      </x:c>
      <x:c r="D13" s="30" t="str">
        <x:f>IFERROR(IF(LARGE('Student Tracker'!$H$6:$H$149,9)&lt;=0,"",INDEX('Student Tracker'!$E$6:$E$149,MATCH(LARGE('Student Tracker'!$H$6:$H$149,9),'Student Tracker'!$H$6:$H$149,0))),"")</x:f>
      </x:c>
      <x:c r="E13" s="30" t="str">
        <x:f>IFERROR(IF(LARGE('Student Tracker'!$H$6:$H$149,9)&lt;=0,"",INDEX('Student Tracker'!$F$6:$F$149,MATCH(LARGE('Student Tracker'!$H$6:$H$149,9),'Student Tracker'!$H$6:$H$149,0))),"")</x:f>
      </x:c>
      <x:c r="F13" s="29" t="str">
        <x:f>IFERROR(IF(LARGE('Student Tracker'!$H$6:$H$149,9)&lt;=0,"",INDEX('Student Tracker'!$G$6:$G$149,MATCH(LARGE('Student Tracker'!$H$6:$H$149,9),'Student Tracker'!$H$6:$H$149,0))),"")</x:f>
      </x:c>
    </x:row>
    <x:row r="14">
      <x:c r="A14" s="28" t="n">
        <x:v>10</x:v>
      </x:c>
      <x:c r="B14" s="25" t="str">
        <x:f>IFERROR(IF(LARGE('Student Tracker'!$H$6:$H$149,10)&lt;=0,"",INDEX('Student Tracker'!$A$6:$A$149,MATCH(LARGE('Student Tracker'!$H$6:$H$149,10),'Student Tracker'!$H$6:$H$149,0))),"")</x:f>
      </x:c>
      <x:c r="C14" s="25" t="str">
        <x:f>IFERROR(IF(LARGE('Student Tracker'!$H$6:$H$149,10)&lt;=0,"",INDEX('Student Tracker'!$B$6:$B$149,MATCH(LARGE('Student Tracker'!$H$6:$H$149,10),'Student Tracker'!$H$6:$H$149,0))),"")</x:f>
      </x:c>
      <x:c r="D14" s="30" t="str">
        <x:f>IFERROR(IF(LARGE('Student Tracker'!$H$6:$H$149,10)&lt;=0,"",INDEX('Student Tracker'!$E$6:$E$149,MATCH(LARGE('Student Tracker'!$H$6:$H$149,10),'Student Tracker'!$H$6:$H$149,0))),"")</x:f>
      </x:c>
      <x:c r="E14" s="30" t="str">
        <x:f>IFERROR(IF(LARGE('Student Tracker'!$H$6:$H$149,10)&lt;=0,"",INDEX('Student Tracker'!$F$6:$F$149,MATCH(LARGE('Student Tracker'!$H$6:$H$149,10),'Student Tracker'!$H$6:$H$149,0))),"")</x:f>
      </x:c>
      <x:c r="F14" s="29" t="str">
        <x:f>IFERROR(IF(LARGE('Student Tracker'!$H$6:$H$149,10)&lt;=0,"",INDEX('Student Tracker'!$G$6:$G$149,MATCH(LARGE('Student Tracker'!$H$6:$H$149,10),'Student Tracker'!$H$6:$H$149,0))),"")</x:f>
      </x:c>
    </x:row>
  </x:sheetData>
  <x:mergeCells>
    <x:mergeCell ref="A1:F1"/>
    <x:mergeCell ref="A2:F2"/>
  </x:mergeCells>
  <x:pageMargins left="0.7" right="0.7" top="0.75" bottom="0.75" header="0.3" footer="0.3"/>
</x:worksheet>
</file>