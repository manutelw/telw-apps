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urriculum" sheetId="2" r:id="rId5"/>
    <sheet state="visible" name="Mr Sandeep Kumar" sheetId="3" r:id="rId6"/>
    <sheet state="visible" name="Student Tracker" sheetId="4" r:id="rId7"/>
    <sheet state="visible" name="Mr Manu Vikraman" sheetId="5" r:id="rId8"/>
    <sheet state="visible" name="Leaderboard" sheetId="6" r:id="rId9"/>
    <sheet state="visible" name="Score Summary" sheetId="7" r:id="rId10"/>
  </sheets>
  <definedNames>
    <definedName hidden="1" localSheetId="3" name="_xlnm._FilterDatabase">'Student Tracker'!$A$2:$Q$3</definedName>
  </definedNames>
  <calcPr/>
  <extLst>
    <ext uri="GoogleSheetsCustomDataVersion2">
      <go:sheetsCustomData xmlns:go="http://customooxmlschemas.google.com/" r:id="rId11" roundtripDataChecksum="UA9Rl5fo4Gjk/6n+GcB0YkP2pvk2mayXtbYkLK7FCwE="/>
    </ext>
  </extLst>
</workbook>
</file>

<file path=xl/sharedStrings.xml><?xml version="1.0" encoding="utf-8"?>
<sst xmlns="http://schemas.openxmlformats.org/spreadsheetml/2006/main" count="1208" uniqueCount="660">
  <si>
    <t>ZIP AHEAD: 26-28 Batch_Term-1</t>
  </si>
  <si>
    <t>A Structured Communication Development Program for PGDM Students</t>
  </si>
  <si>
    <t>10 Weeks  ·  1 Submission / Week  ·  10 Total Submissions  ·  Audio Based Delivery</t>
  </si>
  <si>
    <t>📅</t>
  </si>
  <si>
    <t>🎙️</t>
  </si>
  <si>
    <t>📋</t>
  </si>
  <si>
    <t>📐</t>
  </si>
  <si>
    <t>📊</t>
  </si>
  <si>
    <t>Total Groups: 15</t>
  </si>
  <si>
    <t>10 Weeks</t>
  </si>
  <si>
    <t>10</t>
  </si>
  <si>
    <t>5</t>
  </si>
  <si>
    <t>Manu-7</t>
  </si>
  <si>
    <t>Sandeep-8</t>
  </si>
  <si>
    <t>Programme Duration</t>
  </si>
  <si>
    <t>Sessions per Week</t>
  </si>
  <si>
    <t>Total Sessions</t>
  </si>
  <si>
    <t>Max Score / Session</t>
  </si>
  <si>
    <t>Assessment Areas</t>
  </si>
  <si>
    <t>Upto 10 Students per Group</t>
  </si>
  <si>
    <t xml:space="preserve">  Assessment Framework</t>
  </si>
  <si>
    <t xml:space="preserve">  Programme Overview</t>
  </si>
  <si>
    <t>Criterion</t>
  </si>
  <si>
    <t>Description</t>
  </si>
  <si>
    <t>Marks</t>
  </si>
  <si>
    <t>Delivery Mode</t>
  </si>
  <si>
    <t>Audio Submissions</t>
  </si>
  <si>
    <t>Clarity</t>
  </si>
  <si>
    <t>Clear confident opening with Pronunciation and Intonation; no filler</t>
  </si>
  <si>
    <t>2</t>
  </si>
  <si>
    <t>Target Audience</t>
  </si>
  <si>
    <t>26-28 Batch PGDM Students (any language level)</t>
  </si>
  <si>
    <t>Structure</t>
  </si>
  <si>
    <t>Logical flow: Situation → Action → Result</t>
  </si>
  <si>
    <t>Pedagogy</t>
  </si>
  <si>
    <t>Practice-Led: Build → Improve → Finalise</t>
  </si>
  <si>
    <t>Relevance</t>
  </si>
  <si>
    <t>Answer matches the question asked</t>
  </si>
  <si>
    <t>Response Length</t>
  </si>
  <si>
    <t>30–60 seconds per audio submission</t>
  </si>
  <si>
    <t>Specificity</t>
  </si>
  <si>
    <t>Real examples, not generic claims</t>
  </si>
  <si>
    <t>Evaluation</t>
  </si>
  <si>
    <t>Rubric-based: 5 criteria × 2 marks each</t>
  </si>
  <si>
    <t>Completion</t>
  </si>
  <si>
    <t>Full response, no broken sentences</t>
  </si>
  <si>
    <t>Programme Lead</t>
  </si>
  <si>
    <t>L&amp;D Team</t>
  </si>
  <si>
    <t>TOTAL</t>
  </si>
  <si>
    <t>Per Session Score</t>
  </si>
  <si>
    <t>Curriculum at a Glance</t>
  </si>
  <si>
    <t>Week</t>
  </si>
  <si>
    <t>Theme</t>
  </si>
  <si>
    <t>Focus Area</t>
  </si>
  <si>
    <t>Submission on Monday</t>
  </si>
  <si>
    <t>Trigger Email to be sent on Wednesday</t>
  </si>
  <si>
    <t>Trigger Email to be sent on Thursday</t>
  </si>
  <si>
    <t>Trigger Email to be sent on Friday</t>
  </si>
  <si>
    <t>Week 1</t>
  </si>
  <si>
    <t>Self-Introduction</t>
  </si>
  <si>
    <t>Identity, domain, and role clarity</t>
  </si>
  <si>
    <t>Week 2</t>
  </si>
  <si>
    <t>PGDM Rationale</t>
  </si>
  <si>
    <t>STAR-based task narration from internship</t>
  </si>
  <si>
    <t>Week 3</t>
  </si>
  <si>
    <t>Strengths</t>
  </si>
  <si>
    <t>Evidence-backed strength with role impact</t>
  </si>
  <si>
    <t>Week 4</t>
  </si>
  <si>
    <t>Weaknesses</t>
  </si>
  <si>
    <t>Honest weakness with growth narrative</t>
  </si>
  <si>
    <t>Week 5</t>
  </si>
  <si>
    <t>Decision-Making</t>
  </si>
  <si>
    <t>Situation → Options → Decision logic</t>
  </si>
  <si>
    <t>Week 6</t>
  </si>
  <si>
    <t>Skills &amp; Career Goals</t>
  </si>
  <si>
    <t>Transferable skills and 5-year vision</t>
  </si>
  <si>
    <t>Week 7</t>
  </si>
  <si>
    <t>Role Aspiration</t>
  </si>
  <si>
    <t>Target role fit, justification, positioning</t>
  </si>
  <si>
    <t>Week 8</t>
  </si>
  <si>
    <t>Company &amp; PGDM Rationale</t>
  </si>
  <si>
    <t>Company research and specialisation logic</t>
  </si>
  <si>
    <t>Week 9</t>
  </si>
  <si>
    <t>Week 10</t>
  </si>
  <si>
    <t>ZIP AHEAD - Course Curriculum  · Term-1:  10-Week Program</t>
  </si>
  <si>
    <t>A Structured Communication Development Program for 26-28  Batch PGDM Students</t>
  </si>
  <si>
    <t>Day</t>
  </si>
  <si>
    <t>Question</t>
  </si>
  <si>
    <t>Instructions</t>
  </si>
  <si>
    <t>Coaching Focus</t>
  </si>
  <si>
    <t>Learning Outcome</t>
  </si>
  <si>
    <t xml:space="preserve">  WEEK 1  -  SELF-INTRODUCTION  |  </t>
  </si>
  <si>
    <t>W1</t>
  </si>
  <si>
    <t>Monday</t>
  </si>
  <si>
    <t>Introduce yourself in 1 minute?</t>
  </si>
  <si>
    <t>Tell us what you are studying and your domain. Begin with UG and include any projects that you have done. Do not talk about school or family.</t>
  </si>
  <si>
    <t>Clear opening sentence. No unnecessary filler. Domain stated confidently.</t>
  </si>
  <si>
    <t>Can begin answers clearly without confusion.</t>
  </si>
  <si>
    <t xml:space="preserve">WEEK 2  -  PGDM Rationale  | </t>
  </si>
  <si>
    <t>W2</t>
  </si>
  <si>
    <t>Why did you choose PGDM?</t>
  </si>
  <si>
    <t>Give your final answer in 45–60 seconds. Connect your past (undergrad or pre-PGDM experience) to your PGDM choice.</t>
  </si>
  <si>
    <t>How the degree bridged a skill gap. Genuine passion for the field.</t>
  </si>
  <si>
    <t>Can discuss specialisation with genuine rationale.</t>
  </si>
  <si>
    <t xml:space="preserve">  WEEK 3  -  STRENGTHS  | </t>
  </si>
  <si>
    <t>W3</t>
  </si>
  <si>
    <t>What is your biggest strength?</t>
  </si>
  <si>
    <t>State one real strength. Give one short example where you used this strength. Avoid common words like 'hardworking' unless you prove it.</t>
  </si>
  <si>
    <t>Avoid generic words. Real example. Clear context.</t>
  </si>
  <si>
    <t>Can state strength with context.</t>
  </si>
  <si>
    <t xml:space="preserve">  WEEK 4  -  WEAKNESSES  |  </t>
  </si>
  <si>
    <t>W4</t>
  </si>
  <si>
    <t>What is your biggest weakness?</t>
  </si>
  <si>
    <t>State one real weakness you are working on. Do not give fake answers like 'I am a perfectionist.' Keep it honest and simple.</t>
  </si>
  <si>
    <t>Honest (not fake). Clear statement. No justification yet.</t>
  </si>
  <si>
    <t>Can acknowledge limitation.</t>
  </si>
  <si>
    <t xml:space="preserve">WEEK 5  -  SKILL DEVELOPMENT  | </t>
  </si>
  <si>
    <t>W5</t>
  </si>
  <si>
    <t>Skills</t>
  </si>
  <si>
    <t>Tell about a skill you had to build from scratch.</t>
  </si>
  <si>
    <t>Describe the skill, why you needed it, how you learned it, and the measurable result. Use STAR Method.</t>
  </si>
  <si>
    <t>Structure a clear story with specific actions, resources used, challenges overcome, and outcomes using the STAR method.</t>
  </si>
  <si>
    <t>Can use STAR Method clearly.</t>
  </si>
  <si>
    <t xml:space="preserve">WEEK 6  - SELF-AWARENESS  | </t>
  </si>
  <si>
    <t>W6</t>
  </si>
  <si>
    <t>Self-awareness</t>
  </si>
  <si>
    <t>How do you react to criticism?</t>
  </si>
  <si>
    <t>Explain how you listen, reflect, act on the feedback, and share a real example of improvement.</t>
  </si>
  <si>
    <t>Present criticism positively, avoid defensiveness, and use the STAR method to highlight growth and improvement.</t>
  </si>
  <si>
    <t>Demonstrate coachability, emotional maturity, and a willingness to learn from feedback.</t>
  </si>
  <si>
    <t xml:space="preserve">WEEK 7  - SELF-AWARENESS  | </t>
  </si>
  <si>
    <t>W7</t>
  </si>
  <si>
    <t>What motivates you?</t>
  </si>
  <si>
    <t>Share what genuinely drives you, explain why it matters, and support it with a relevant example.</t>
  </si>
  <si>
    <t>Connect personal motivation to job performance and reinforce it with a specific, authentic example.</t>
  </si>
  <si>
    <t>Demonstrate self-awareness, intrinsic motivation.</t>
  </si>
  <si>
    <t xml:space="preserve">  WEEK 8  -  Career Goals  | </t>
  </si>
  <si>
    <t>W8</t>
  </si>
  <si>
    <t>Career Goals</t>
  </si>
  <si>
    <t xml:space="preserve">
What are your short-term and long-term goals?</t>
  </si>
  <si>
    <t>State your short-term and long-term goals, explain how they are connected, and align them with the role.</t>
  </si>
  <si>
    <t>Present realistic, role-aligned goals that show progression and long-term value to the organization.</t>
  </si>
  <si>
    <t>Demonstrate career clarity, ambition, and commitment to continuous growth.</t>
  </si>
  <si>
    <t xml:space="preserve">  WEEK 9  -  BEHAVIORAL  |  </t>
  </si>
  <si>
    <t>W9</t>
  </si>
  <si>
    <t>Behavioral</t>
  </si>
  <si>
    <t>Tell about a time you worked in a team.</t>
  </si>
  <si>
    <t>Describe the team situation, your specific role, how you collaborated, and the outcome. Use STAR Method.</t>
  </si>
  <si>
    <t>Emphasize their individual contribution, conflict resolution (if any), and the positive impact using the STAR method.</t>
  </si>
  <si>
    <t>Demonstrate teamwork, communication, collaboration, and contribution toward a common goal.</t>
  </si>
  <si>
    <t xml:space="preserve">  WEEK 10  -  STRENGTHS  | </t>
  </si>
  <si>
    <t>W10</t>
  </si>
  <si>
    <t>Situational</t>
  </si>
  <si>
    <t>How would you handle work pressure?</t>
  </si>
  <si>
    <t>Explain how you prioritize tasks, stay calm under pressure, and share a real example of handling a demanding situation.</t>
  </si>
  <si>
    <t>Emphasize a structured approach, positive mindset, and measurable results using the STAR method.</t>
  </si>
  <si>
    <t>Demonstrate resilience, time management, problem-solving, and the ability to perform under pressure.</t>
  </si>
  <si>
    <t>S.No</t>
  </si>
  <si>
    <t>Roll No</t>
  </si>
  <si>
    <t>Email-ID</t>
  </si>
  <si>
    <t>Student Name</t>
  </si>
  <si>
    <t>Mobile No</t>
  </si>
  <si>
    <t>Group</t>
  </si>
  <si>
    <t>Mon</t>
  </si>
  <si>
    <t>26PGDM001</t>
  </si>
  <si>
    <t>28-Aadya.Shreysee@fiib.edu.in</t>
  </si>
  <si>
    <t>Aadya Shreysee</t>
  </si>
  <si>
    <t>group 1</t>
  </si>
  <si>
    <t>26PGDM002</t>
  </si>
  <si>
    <t>28-aditi.lakhotia@fiib.edu.in</t>
  </si>
  <si>
    <t>Aditi Lakhotia</t>
  </si>
  <si>
    <t>26PGDM003</t>
  </si>
  <si>
    <t>28-Amisha.Kumari@fiib.edu.in</t>
  </si>
  <si>
    <t>Amisha Kumari</t>
  </si>
  <si>
    <t>90059 94838</t>
  </si>
  <si>
    <t>26PGDM004</t>
  </si>
  <si>
    <t>28-Anandita.Parihar@fiib.edu.in</t>
  </si>
  <si>
    <t>Anandita Parihar</t>
  </si>
  <si>
    <t>26PGDM005</t>
  </si>
  <si>
    <t>28-aniket.sinha@fiib.edu.in</t>
  </si>
  <si>
    <t>Aniket Sinha</t>
  </si>
  <si>
    <t>26PGDM006</t>
  </si>
  <si>
    <t>28-Anjali.Tiwari@fiib.edu.in</t>
  </si>
  <si>
    <t>Anjali Tiwari</t>
  </si>
  <si>
    <t>26PGDM007</t>
  </si>
  <si>
    <t>28-Anushka.Singh@fiib.edu.in</t>
  </si>
  <si>
    <t>Anushka Singh</t>
  </si>
  <si>
    <t>26PGDM008</t>
  </si>
  <si>
    <t>28-Anushka.Tiwari@fiib.edu.in</t>
  </si>
  <si>
    <t>Anushka Tiwari</t>
  </si>
  <si>
    <t>26PGDM009</t>
  </si>
  <si>
    <t>28-arshalan.noor@fiib.edu.in</t>
  </si>
  <si>
    <t>Arshalan Noor</t>
  </si>
  <si>
    <t>26PGDM010</t>
  </si>
  <si>
    <t>28-Chandan.Pant@fiib.edu.in</t>
  </si>
  <si>
    <t>Chandan Pant</t>
  </si>
  <si>
    <t>26PGDM011</t>
  </si>
  <si>
    <t>28-Dherya.Mittal@fiib.edu.in</t>
  </si>
  <si>
    <t>Dherya Mittal</t>
  </si>
  <si>
    <t>Group 2</t>
  </si>
  <si>
    <t>26PGDM012</t>
  </si>
  <si>
    <t>28-Ekta.Singh@fiib.edu.in</t>
  </si>
  <si>
    <t>Ekta Singh</t>
  </si>
  <si>
    <t>26PGDM013</t>
  </si>
  <si>
    <t>28-Farheen.Khan@fiib.edu.in</t>
  </si>
  <si>
    <t>Farheen Khan</t>
  </si>
  <si>
    <t>93999 95750</t>
  </si>
  <si>
    <t>26PGDM014</t>
  </si>
  <si>
    <t>28-Jaideep.Kalra@fiib.edu.in</t>
  </si>
  <si>
    <t>Jaideep Singh Kalra</t>
  </si>
  <si>
    <t>26PGDM015</t>
  </si>
  <si>
    <t>28-Joy.Mann@fiib.edu.in</t>
  </si>
  <si>
    <t>Joy Mann</t>
  </si>
  <si>
    <t>26PGDM016</t>
  </si>
  <si>
    <t>28-Khushi.Gupta@fiib.edu.in</t>
  </si>
  <si>
    <t>Khushi Gupta</t>
  </si>
  <si>
    <t>26PGDM017</t>
  </si>
  <si>
    <t>28-Khushi.Kumari@fiib.edu.in</t>
  </si>
  <si>
    <t>Khushi Kumari</t>
  </si>
  <si>
    <t>26PGDM018</t>
  </si>
  <si>
    <t>28-laiba.arzoo@fiib.edu.in</t>
  </si>
  <si>
    <t>Laiba Arzoo</t>
  </si>
  <si>
    <t>99718 69252</t>
  </si>
  <si>
    <t>26PGDM019</t>
  </si>
  <si>
    <t>28-lakshya.antil@fiib.edu.in</t>
  </si>
  <si>
    <t>Lakshya Antil</t>
  </si>
  <si>
    <t>26PGDM020</t>
  </si>
  <si>
    <t>28-lakshya.seth@fiib.edu.in</t>
  </si>
  <si>
    <t>Lakshya Seth</t>
  </si>
  <si>
    <t>26PGDM021</t>
  </si>
  <si>
    <t>28-Leena.Tamulcar@fiib.edu.in</t>
  </si>
  <si>
    <t>Leena Tamulcar</t>
  </si>
  <si>
    <t>Group 3</t>
  </si>
  <si>
    <t>26PGDM022</t>
  </si>
  <si>
    <t>28-Madhav.Arora@fiib.edu.in</t>
  </si>
  <si>
    <t>Madhav Arora</t>
  </si>
  <si>
    <t>26PGDM023</t>
  </si>
  <si>
    <t>28-Manuj.Dhiman@fiib.edu.in</t>
  </si>
  <si>
    <t>Manuj Dhiman</t>
  </si>
  <si>
    <t>26PGDM024</t>
  </si>
  <si>
    <t>28-Manvi.Jain@fiib.edu.in</t>
  </si>
  <si>
    <t>Manvi Jain</t>
  </si>
  <si>
    <t>26PGDM025</t>
  </si>
  <si>
    <t>28-Neha.Vishwakarma@fiib.edu.in</t>
  </si>
  <si>
    <t>Neha Vishwakarma</t>
  </si>
  <si>
    <t>99273 93418</t>
  </si>
  <si>
    <t>26PGDM026</t>
  </si>
  <si>
    <t>28-Rajat.Dargar@fiib.edu.in</t>
  </si>
  <si>
    <t>Rajat Dargar</t>
  </si>
  <si>
    <t>88265 76069</t>
  </si>
  <si>
    <t>26PGDM027</t>
  </si>
  <si>
    <t>28-Rudransh.Tewari@fiib.edu.in</t>
  </si>
  <si>
    <t>Rudransh Tewari</t>
  </si>
  <si>
    <t>95280 73195</t>
  </si>
  <si>
    <t>26PGDM028</t>
  </si>
  <si>
    <t>28-Samir.Wadhawan@fiib.edu.in</t>
  </si>
  <si>
    <t>Samir Wadhawan</t>
  </si>
  <si>
    <t>26PGDM029</t>
  </si>
  <si>
    <t>28-Shriya.Srivastava@fiib.edu.in</t>
  </si>
  <si>
    <t>Shriya Srivastava</t>
  </si>
  <si>
    <t>93051 28823</t>
  </si>
  <si>
    <t>26PGDM030</t>
  </si>
  <si>
    <t>28-Somaina.Narzary@fiib.edu.in</t>
  </si>
  <si>
    <t>Somaina Narzary</t>
  </si>
  <si>
    <t>26PGDM031</t>
  </si>
  <si>
    <t>28-sunny.kumar@fiib.edu.in</t>
  </si>
  <si>
    <t>Sunny Kumar</t>
  </si>
  <si>
    <t>Group 4</t>
  </si>
  <si>
    <t>26PGDM032</t>
  </si>
  <si>
    <t>28-Swetank.Singh@fiib.edu.in</t>
  </si>
  <si>
    <t>Swetank Singh</t>
  </si>
  <si>
    <t>26PGDM033</t>
  </si>
  <si>
    <t>28-Tanya.Chauhan@fiib.edu.in</t>
  </si>
  <si>
    <t>Tanya Chauhan</t>
  </si>
  <si>
    <t>26PGDM034</t>
  </si>
  <si>
    <t>28-Utkarsh.Singh@fiib.edu.in</t>
  </si>
  <si>
    <t>Utkarsh Singh</t>
  </si>
  <si>
    <t>26PGDM035</t>
  </si>
  <si>
    <t>28-Vaidehi.Singh@fiib.edu.in</t>
  </si>
  <si>
    <t>Vaidehi Singh</t>
  </si>
  <si>
    <t>26PGDM036</t>
  </si>
  <si>
    <t>28-Vatsal.Nair@fiib.edu.in</t>
  </si>
  <si>
    <t>Vatsal Nair</t>
  </si>
  <si>
    <t>26PGDM061</t>
  </si>
  <si>
    <t>28-Abhinav.Sharma@fiib.edu.in</t>
  </si>
  <si>
    <t>Abhinav Sharma</t>
  </si>
  <si>
    <t>26PGDM062</t>
  </si>
  <si>
    <t>28-abhinav.sharma1@fiib.edu.in</t>
  </si>
  <si>
    <t>26PGDM063</t>
  </si>
  <si>
    <t>28-Aditi.Bhagat@fiib.edu.in</t>
  </si>
  <si>
    <t>Aditi Bhagat</t>
  </si>
  <si>
    <t>26PGDM064</t>
  </si>
  <si>
    <t>28-Ananjay.Ravindran@fiib.edu.in</t>
  </si>
  <si>
    <t>Ananjay Ravindran</t>
  </si>
  <si>
    <t>26PGDM065</t>
  </si>
  <si>
    <t>28-Ananya.Kaushik@fiib.edu.in</t>
  </si>
  <si>
    <t>Ananya Kaushik</t>
  </si>
  <si>
    <t>Group 5</t>
  </si>
  <si>
    <t>26PGDM066</t>
  </si>
  <si>
    <t>28-Anjali.Tiwari1@fiib.edu.in</t>
  </si>
  <si>
    <t>26PGDM067</t>
  </si>
  <si>
    <t>28-Dhruv.Tokas@fiib.edu.in</t>
  </si>
  <si>
    <t>Dhruv Tokas</t>
  </si>
  <si>
    <t>26PGDM068</t>
  </si>
  <si>
    <t>28-Diksha.Asija@fiib.edu.in</t>
  </si>
  <si>
    <t>Diksha Asija</t>
  </si>
  <si>
    <t>26PGDM069</t>
  </si>
  <si>
    <t>28-Disha.Mandiratta@fiib.edu.in</t>
  </si>
  <si>
    <t>Disha Mandiratta</t>
  </si>
  <si>
    <t>26PGDM070</t>
  </si>
  <si>
    <t>28-Gajendra.Tomar@fiib.edu.in</t>
  </si>
  <si>
    <t>Gajendra Singh Tomar</t>
  </si>
  <si>
    <t>26PGDM071</t>
  </si>
  <si>
    <t>28-Gayatri.Swain@fiib.edu.in</t>
  </si>
  <si>
    <t>Gayatri Swain</t>
  </si>
  <si>
    <t>26PGDM072</t>
  </si>
  <si>
    <t>28-Harshit.Sharma@fiib.edu.in</t>
  </si>
  <si>
    <t>Harshit Sharma</t>
  </si>
  <si>
    <t>26PGDM073</t>
  </si>
  <si>
    <t>28-Harshita.Khandelwal@fiib.edu.in</t>
  </si>
  <si>
    <t>Harshita Khandelwal</t>
  </si>
  <si>
    <t>26PGDM074</t>
  </si>
  <si>
    <t>28-Jahnawi.Singh@fiib.edu.in</t>
  </si>
  <si>
    <t>Jahnawi Singh</t>
  </si>
  <si>
    <t>26PGDM075</t>
  </si>
  <si>
    <t>28-Karan.Siwas@fiib.edu.in</t>
  </si>
  <si>
    <t>Karan Siwas</t>
  </si>
  <si>
    <t>Group 6</t>
  </si>
  <si>
    <t>26PGDM076</t>
  </si>
  <si>
    <t>28-Khushi.Verma@fiib.edu.in</t>
  </si>
  <si>
    <t>Khushi Verma</t>
  </si>
  <si>
    <t>26PGDM077</t>
  </si>
  <si>
    <t>28-Madhav.Kumar@fiib.edu.in</t>
  </si>
  <si>
    <t>Madhav Kumar</t>
  </si>
  <si>
    <t>26PGDM078</t>
  </si>
  <si>
    <t>28-Mahak.Sahu@fiib.edu.in</t>
  </si>
  <si>
    <t>Mahak Sahu</t>
  </si>
  <si>
    <t>26PGDM079</t>
  </si>
  <si>
    <t>28-mudit.garg@fiib.edu.in</t>
  </si>
  <si>
    <t>Mudit Garg</t>
  </si>
  <si>
    <t>26PGDM080</t>
  </si>
  <si>
    <t>28-Naman.Srivastava@fiib.edu.in</t>
  </si>
  <si>
    <t>Naman Srivastava</t>
  </si>
  <si>
    <t>26PGDM081</t>
  </si>
  <si>
    <t>28-niharika.kureel@fiib.edu.in</t>
  </si>
  <si>
    <t>Niharika Kureel</t>
  </si>
  <si>
    <t>26PGDM082</t>
  </si>
  <si>
    <t>28-Nikita.Joshi@fiib.edu.in</t>
  </si>
  <si>
    <t>Nikita Joshi</t>
  </si>
  <si>
    <t>26PGDM083</t>
  </si>
  <si>
    <t>28-Palak.Singhal@fiib.edu.in</t>
  </si>
  <si>
    <t>Palak Singhal</t>
  </si>
  <si>
    <t>26PGDM085</t>
  </si>
  <si>
    <t>28-sakshi.sharma@fiib.edu.in</t>
  </si>
  <si>
    <t>Sakshi Sharma</t>
  </si>
  <si>
    <t>26PGDM086</t>
  </si>
  <si>
    <t>28-Sanchita.Yashaswi@fiib.edu.in</t>
  </si>
  <si>
    <t>Sanchita Yashaswi</t>
  </si>
  <si>
    <t>Group 7</t>
  </si>
  <si>
    <t>26PGDM087</t>
  </si>
  <si>
    <t>28-Shivaditya.Deb@fiib.edu.in</t>
  </si>
  <si>
    <t>Shivaditya Deb</t>
  </si>
  <si>
    <t>26PGDM088</t>
  </si>
  <si>
    <t>28-Shubh.Daga@fiib.edu.in</t>
  </si>
  <si>
    <t>Shubh Daga</t>
  </si>
  <si>
    <t>26PGDM089</t>
  </si>
  <si>
    <t>28-Shubham.Kumar@fiib.edu.in</t>
  </si>
  <si>
    <t>Shubham Kumar</t>
  </si>
  <si>
    <t>26PGDM091</t>
  </si>
  <si>
    <t>28-Suhani.Dubey@fiib.edu.in</t>
  </si>
  <si>
    <t>Suhani Dubey</t>
  </si>
  <si>
    <t>26PGDM092</t>
  </si>
  <si>
    <t>28-Tanveer.Singh@fiib.edu.in</t>
  </si>
  <si>
    <t>Tanveer Singh</t>
  </si>
  <si>
    <t>26PGDM093</t>
  </si>
  <si>
    <t>28-Vishonika@fiib.edu.in</t>
  </si>
  <si>
    <t>Vishonika -</t>
  </si>
  <si>
    <t>26PGDM094</t>
  </si>
  <si>
    <t>28-Vivek.Singh@fiib.edu.in</t>
  </si>
  <si>
    <t>Vivek Kumar Singh</t>
  </si>
  <si>
    <t>26PGDM095</t>
  </si>
  <si>
    <t>28-Yash.Sobti@fiib.edu.in</t>
  </si>
  <si>
    <t>Yash Sobti</t>
  </si>
  <si>
    <t>26PGDM122</t>
  </si>
  <si>
    <t>28-Abhishek.Singh@fiib.edu.in</t>
  </si>
  <si>
    <t>Abhishek Kumar Singh</t>
  </si>
  <si>
    <t>26PGDM123</t>
  </si>
  <si>
    <t>28-Aditi.Mishra@fiib.edu.in</t>
  </si>
  <si>
    <t>Aditi Mishra</t>
  </si>
  <si>
    <t>Group 8</t>
  </si>
  <si>
    <t>26PGDM124</t>
  </si>
  <si>
    <t>28-Aditya.Kishan@fiib.edu.in</t>
  </si>
  <si>
    <t>Aditya Kishan</t>
  </si>
  <si>
    <t>26PGDM125</t>
  </si>
  <si>
    <t>28-Aditya.Sachdeva@fiib.edu.in</t>
  </si>
  <si>
    <t>Aditya Sachdeva</t>
  </si>
  <si>
    <t>26PGDM126</t>
  </si>
  <si>
    <t>28-akshay.kumar@fiib.edu.in</t>
  </si>
  <si>
    <t>Akshay Kumar</t>
  </si>
  <si>
    <t>26PGDM127</t>
  </si>
  <si>
    <t>28-Aman.Rathore@fiib.edu.in</t>
  </si>
  <si>
    <t>Aman Rathore</t>
  </si>
  <si>
    <t>26PGDM128</t>
  </si>
  <si>
    <t>28-anjali.verma@fiib.edu.in</t>
  </si>
  <si>
    <t>Anjali Verma</t>
  </si>
  <si>
    <t>26PGDM129</t>
  </si>
  <si>
    <t>28-Apurva.Singh@fiib.edu.in</t>
  </si>
  <si>
    <t>Apurva Singh</t>
  </si>
  <si>
    <t>26PGDM130</t>
  </si>
  <si>
    <t>28-Dhairya.Sharma@fiib.edu.in</t>
  </si>
  <si>
    <t>Dhairya Sharma</t>
  </si>
  <si>
    <t>26PGDM131</t>
  </si>
  <si>
    <t>28-Divyansh.Gupta@fiib.edu.in</t>
  </si>
  <si>
    <t>Divyansh Gupta</t>
  </si>
  <si>
    <t>26PGDM132</t>
  </si>
  <si>
    <t>28-Diya.Bhandari@fiib.edu.in</t>
  </si>
  <si>
    <t>Diya Bhandari</t>
  </si>
  <si>
    <t>ZIP AHEAD -  Student Performance Tracker</t>
  </si>
  <si>
    <t>A Structured Response Development System for PGDM Students</t>
  </si>
  <si>
    <t>Score each session out of 10  |  Grades auto-calculate  |  Status auto-updates</t>
  </si>
  <si>
    <t>Email Student Name</t>
  </si>
  <si>
    <t>Mobile</t>
  </si>
  <si>
    <t>Domain</t>
  </si>
  <si>
    <t>Total
(/100)</t>
  </si>
  <si>
    <t>Avg
(/10)</t>
  </si>
  <si>
    <t>Grade</t>
  </si>
  <si>
    <t>Status</t>
  </si>
  <si>
    <t>26PGDM133</t>
  </si>
  <si>
    <t>28-Eshani.Pandey@fiib.edu.in</t>
  </si>
  <si>
    <t>Eshani Pandey</t>
  </si>
  <si>
    <t>26PGDM134</t>
  </si>
  <si>
    <t>28-Jahnavi.Goyal@fiib.edu.in</t>
  </si>
  <si>
    <t>Jahnavi .</t>
  </si>
  <si>
    <t>26PGDM135</t>
  </si>
  <si>
    <t>28-Joni.Ahmed@fiib.edu.in</t>
  </si>
  <si>
    <t>Joni Ahmed</t>
  </si>
  <si>
    <t>26PGDM136</t>
  </si>
  <si>
    <t>28-Kanishka.Garg@fiib.edu.in</t>
  </si>
  <si>
    <t>Kanishka Garg</t>
  </si>
  <si>
    <t>26PGDM137</t>
  </si>
  <si>
    <t>28-Kash.Kumar@fiib.edu.in</t>
  </si>
  <si>
    <t>Kash Kumar</t>
  </si>
  <si>
    <t>26PGDM138</t>
  </si>
  <si>
    <t>28-Krishna.Vikas@fiib.edu.in</t>
  </si>
  <si>
    <t>Krishna Vikas</t>
  </si>
  <si>
    <t>26PGDM139</t>
  </si>
  <si>
    <t>28-Kritika@fiib.edu.in</t>
  </si>
  <si>
    <t>Kritika -</t>
  </si>
  <si>
    <t>26PGDM140</t>
  </si>
  <si>
    <t>28-Madhav.Srivastava@fiib.edu.in</t>
  </si>
  <si>
    <t>Madhav Srivastava</t>
  </si>
  <si>
    <t>26PGDM141</t>
  </si>
  <si>
    <t>28-Minakshi.Kalita@fiib.edu.in</t>
  </si>
  <si>
    <t>Minakshi Kalita</t>
  </si>
  <si>
    <t>26PGDM142</t>
  </si>
  <si>
    <t>28-Neha.Patel@fiib.edu.in</t>
  </si>
  <si>
    <t>Neha Patel</t>
  </si>
  <si>
    <t>26PGDM143</t>
  </si>
  <si>
    <t>28-Paras.Jalandra@fiib.edu.in</t>
  </si>
  <si>
    <t>Paras Jalandra</t>
  </si>
  <si>
    <t>26PGDM144</t>
  </si>
  <si>
    <t>28-Pooja.Kumari@fiib.edu.in</t>
  </si>
  <si>
    <t>Pooja Kumari</t>
  </si>
  <si>
    <t>26PGDM145</t>
  </si>
  <si>
    <t>28-Pooja.Samanta@fiib.edu.in</t>
  </si>
  <si>
    <t>Pooja Samanta</t>
  </si>
  <si>
    <t>26PGDM146</t>
  </si>
  <si>
    <t>28-Poornam.Jaiswal@fiib.edu.in</t>
  </si>
  <si>
    <t>Poornam Jaiswal</t>
  </si>
  <si>
    <t>26PGDM147</t>
  </si>
  <si>
    <t>28-Prachi.Singh@fiib.edu.in</t>
  </si>
  <si>
    <t>Prachi Singh</t>
  </si>
  <si>
    <t>26PGDM148</t>
  </si>
  <si>
    <t>28-Ritesh.Ranjan@fiib.edu.in</t>
  </si>
  <si>
    <t>Ritesh Ranjan</t>
  </si>
  <si>
    <t>26PGDM149</t>
  </si>
  <si>
    <t>28-Satvik.Tickoo@fiib.edu.in</t>
  </si>
  <si>
    <t>Satvik Tickoo</t>
  </si>
  <si>
    <t>26PGDM150</t>
  </si>
  <si>
    <t>28-Shirsh.Parashar@fiib.edu.in</t>
  </si>
  <si>
    <t>Shirsh Parashar</t>
  </si>
  <si>
    <t>26PGDM151</t>
  </si>
  <si>
    <t>28-Shivanjali.Saxena@fiib.edu.in</t>
  </si>
  <si>
    <t>Shivanjali Saxena</t>
  </si>
  <si>
    <t>26PGDM152</t>
  </si>
  <si>
    <t>28-Sneha.Sivastava@fiib.edu.in</t>
  </si>
  <si>
    <t>Sneha .</t>
  </si>
  <si>
    <t>26PGDM153</t>
  </si>
  <si>
    <t>28-Tamanna.Joshi@fiib.edu.in</t>
  </si>
  <si>
    <t>Tamanna Joshi</t>
  </si>
  <si>
    <t>26PGDM154</t>
  </si>
  <si>
    <t>28-Umang.Gupta@fiib.edu.in</t>
  </si>
  <si>
    <t>Umang Gupta</t>
  </si>
  <si>
    <t>26PGDM155</t>
  </si>
  <si>
    <t>28-Vaibhav.Chatterjee@fiib.edu.in</t>
  </si>
  <si>
    <t>Vaibhav Chatterjee</t>
  </si>
  <si>
    <t>28-yash.jindal@fiib.edu.in</t>
  </si>
  <si>
    <t>Yash Jindal</t>
  </si>
  <si>
    <t>26PGDMFM001</t>
  </si>
  <si>
    <t>28-aaditya@fiib.edu.in</t>
  </si>
  <si>
    <t>Aaditya .</t>
  </si>
  <si>
    <t>26PGDMFM002</t>
  </si>
  <si>
    <t>28-Aarushi.Verma@fiib.edu.in</t>
  </si>
  <si>
    <t>Aarushi Verma</t>
  </si>
  <si>
    <t>26PGDMFM003</t>
  </si>
  <si>
    <t>28-Aditi.Pandey@fiib.edu.in</t>
  </si>
  <si>
    <t>Aditi Pandey</t>
  </si>
  <si>
    <t>26PGDMFM004</t>
  </si>
  <si>
    <t>28-Aditi.Singh@fiib.edu.in</t>
  </si>
  <si>
    <t>Aditi Singh</t>
  </si>
  <si>
    <t>26PGDMFM005</t>
  </si>
  <si>
    <t>28-alka.mehta@fiib.edu.in</t>
  </si>
  <si>
    <t>Alka Mehta</t>
  </si>
  <si>
    <t>26PGDMFM006</t>
  </si>
  <si>
    <t>28-Anand.Mohapatra@fiib.edu.in</t>
  </si>
  <si>
    <t>Anand Mohapatra</t>
  </si>
  <si>
    <t>26PGDMFM007</t>
  </si>
  <si>
    <t>28-Anuj.Nautiyal@fiib.edu.in</t>
  </si>
  <si>
    <t>Anuj Nautiyal</t>
  </si>
  <si>
    <t>26PGDMFM008</t>
  </si>
  <si>
    <t>28-Arav.Singh@fiib.edu.in</t>
  </si>
  <si>
    <t>Arav Singh</t>
  </si>
  <si>
    <t>26PGDMFM009</t>
  </si>
  <si>
    <t>28-Arnav.Ahlawat@fiib.edu.in</t>
  </si>
  <si>
    <t>Arnav Ahlawat</t>
  </si>
  <si>
    <t>26PGDMFM010</t>
  </si>
  <si>
    <t>28-Biswajeet.Choudhury@fiib.edu.in</t>
  </si>
  <si>
    <t>Biswajeet Choudhury</t>
  </si>
  <si>
    <t>26PGDMFM011</t>
  </si>
  <si>
    <t>28-Daksh.Kumar@fiib.edu.in</t>
  </si>
  <si>
    <t>Daksh Kumar</t>
  </si>
  <si>
    <t>26PGDMFM012</t>
  </si>
  <si>
    <t>28-deepak.verma@fiib.edu.in</t>
  </si>
  <si>
    <t>Deepak Verma</t>
  </si>
  <si>
    <t>26PGDMFM013</t>
  </si>
  <si>
    <t>28-Dewank.Gupta@fiib.edu.in</t>
  </si>
  <si>
    <t>Dewank Gupta</t>
  </si>
  <si>
    <t>26PGDMFM014</t>
  </si>
  <si>
    <t>28-divya.kumar@fiib.edu.in</t>
  </si>
  <si>
    <t>Divya Kumar</t>
  </si>
  <si>
    <t>26PGDMFM015</t>
  </si>
  <si>
    <t>28-Esha.Tandon@fiib.edu.in</t>
  </si>
  <si>
    <t>Eshan Tandon</t>
  </si>
  <si>
    <t>26PGDMFM016</t>
  </si>
  <si>
    <t>28-garima.gupta@fiib.edu.in</t>
  </si>
  <si>
    <t>Garima Gupta</t>
  </si>
  <si>
    <t>26PGDMFM017</t>
  </si>
  <si>
    <t>28-isha.choudhary@fiib.edu.in</t>
  </si>
  <si>
    <t>Isha Choudhary</t>
  </si>
  <si>
    <t>26PGDMFM018</t>
  </si>
  <si>
    <t>28-Janish@fiib.edu.in</t>
  </si>
  <si>
    <t>Janish -</t>
  </si>
  <si>
    <t>26PGDMFM019</t>
  </si>
  <si>
    <t>28-Janvi.Gehija@fiib.edu.in</t>
  </si>
  <si>
    <t>Janvi Gehija</t>
  </si>
  <si>
    <t>26PGDMFM020</t>
  </si>
  <si>
    <t>28-Jatin.Kushwhaha@fiib.edu.in</t>
  </si>
  <si>
    <t>Jatin Kushwhaha</t>
  </si>
  <si>
    <t>26PGDMFM021</t>
  </si>
  <si>
    <t>28-Krish.Gupta@fiib.edu.in</t>
  </si>
  <si>
    <t>Krish Gupta</t>
  </si>
  <si>
    <t>26PGDMFM022</t>
  </si>
  <si>
    <t>28-Krishnakant.Agrawal@fiib.edu.in</t>
  </si>
  <si>
    <t>Krishnakant Agrawal</t>
  </si>
  <si>
    <t>26PGDMFM023</t>
  </si>
  <si>
    <t>28-mohammad.alam@fiib.edu.in</t>
  </si>
  <si>
    <t>Mohammad Shakeb Alam</t>
  </si>
  <si>
    <t>26PGDMFM024</t>
  </si>
  <si>
    <t>28-Palak.Bansal@fiib.edu.in</t>
  </si>
  <si>
    <t>Palak Bansal</t>
  </si>
  <si>
    <t>26PGDMFM025</t>
  </si>
  <si>
    <t>28-purvanshi.mittal@fiib.edu.in</t>
  </si>
  <si>
    <t>Purvanshi Mittal</t>
  </si>
  <si>
    <t>26PGDMFM026</t>
  </si>
  <si>
    <t>28-Rahul.Saxena@fiib.edu.in</t>
  </si>
  <si>
    <t>Rahul Saxena</t>
  </si>
  <si>
    <t>26PGDMFM027</t>
  </si>
  <si>
    <t>28-Rashi.Singh@fiib.edu.in</t>
  </si>
  <si>
    <t>Rashi Singh</t>
  </si>
  <si>
    <t>26PGDMFM028</t>
  </si>
  <si>
    <t>28-Sachin.Kashiv@fiib.edu.in</t>
  </si>
  <si>
    <t>Sachin Kashiv</t>
  </si>
  <si>
    <t>26PGDMFM029</t>
  </si>
  <si>
    <t>28-Sahil@fiib.edu.in</t>
  </si>
  <si>
    <t>Sahil -</t>
  </si>
  <si>
    <t>26PGDMFM030</t>
  </si>
  <si>
    <t>28-Samridhi.Rai@fiib.edu.in</t>
  </si>
  <si>
    <t>Samridhi Rai</t>
  </si>
  <si>
    <t>26PGDMFM031</t>
  </si>
  <si>
    <t>28-Sanyam.Agrawal@fiib.edu.in</t>
  </si>
  <si>
    <t>Sanyam Agrawal</t>
  </si>
  <si>
    <t>26PGDMFM032</t>
  </si>
  <si>
    <t>28-Sarthak.Mishra@fiib.edu.in</t>
  </si>
  <si>
    <t>Sarthak Mishra</t>
  </si>
  <si>
    <t>26PGDMFM033</t>
  </si>
  <si>
    <t>28-Shuchi.Sharma@fiib.edu.in</t>
  </si>
  <si>
    <t>Shuchi Sharma</t>
  </si>
  <si>
    <t>26PGDMFM034</t>
  </si>
  <si>
    <t>28-sourav.yadav@fiib.edu.in</t>
  </si>
  <si>
    <t>Sourav Yadav</t>
  </si>
  <si>
    <t>26PGDMFM035</t>
  </si>
  <si>
    <t>28-Sristi.Singh@fiib.edu.in</t>
  </si>
  <si>
    <t>Sristi Singh</t>
  </si>
  <si>
    <t>26PGDMFM036</t>
  </si>
  <si>
    <t>28-suhani.srivastava@fiib.edu.in</t>
  </si>
  <si>
    <t>Suhani Srivastava</t>
  </si>
  <si>
    <t>26PGDMFM037</t>
  </si>
  <si>
    <t>28-Sujal.Bansal@fiib.edu.in</t>
  </si>
  <si>
    <t>Sujal Bansal</t>
  </si>
  <si>
    <t>26PGDMFM038</t>
  </si>
  <si>
    <t>28-suryansh.gupta@fiib.edu.in</t>
  </si>
  <si>
    <t>Suryansh Gupta</t>
  </si>
  <si>
    <t>26PGDMFM039</t>
  </si>
  <si>
    <t>28-Tanishq.Anand@fiib.edu.in</t>
  </si>
  <si>
    <t>Tanishq Anand</t>
  </si>
  <si>
    <t>26PGDMFM040</t>
  </si>
  <si>
    <t>28-Vikrant.Rao@fiib.edu.in</t>
  </si>
  <si>
    <t>Vikrant Govind Rao</t>
  </si>
  <si>
    <t>26PGDMFM041</t>
  </si>
  <si>
    <t>28-mayank.bisht@fiib.edu.in</t>
  </si>
  <si>
    <t>Mayank Bisht</t>
  </si>
  <si>
    <t>CLASS AVERAGE</t>
  </si>
  <si>
    <t>Roll NO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</si>
  <si>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</si>
  <si>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</si>
  <si>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</si>
  <si>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</si>
  <si>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</si>
  <si>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</si>
  <si>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</si>
  <si>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</si>
  <si>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🏆  ZIP AHEAD : Leaderboard— Top 10 Participants</t>
  </si>
  <si>
    <t>Week-1</t>
  </si>
  <si>
    <t>13th July to 17th July 2026</t>
  </si>
  <si>
    <t>Rank</t>
  </si>
  <si>
    <t xml:space="preserve">Name </t>
  </si>
  <si>
    <t>Specialisation</t>
  </si>
  <si>
    <t>Total Score
(/100)</t>
  </si>
  <si>
    <t>Avg Score
(/10)</t>
  </si>
  <si>
    <t>Rankings auto-update from Student Tracker · Scores based on /100</t>
  </si>
  <si>
    <t xml:space="preserve"> ZIP AHEAD- Weekly Score Summary</t>
  </si>
  <si>
    <t>Class performance overview per week</t>
  </si>
  <si>
    <t>Auto-calculated from Student Tracker  |  Update scores there to refresh this sheet</t>
  </si>
  <si>
    <t>Mon Submission</t>
  </si>
  <si>
    <t>Week Submition</t>
  </si>
  <si>
    <t>Max</t>
  </si>
  <si>
    <t>% Score</t>
  </si>
  <si>
    <t xml:space="preserve">  Grading Scale / Performance Bands</t>
  </si>
  <si>
    <t>A+ Distinction</t>
  </si>
  <si>
    <t>9.0 – 10.0</t>
  </si>
  <si>
    <t>A Excellent</t>
  </si>
  <si>
    <t>8.0 – 8.9</t>
  </si>
  <si>
    <t>B+ Very Good</t>
  </si>
  <si>
    <t>7.0 – 7.9</t>
  </si>
  <si>
    <t>B Good</t>
  </si>
  <si>
    <t>6.0 – 6.9</t>
  </si>
  <si>
    <t>C Satisfactory</t>
  </si>
  <si>
    <t>5.0 – 5.9</t>
  </si>
  <si>
    <t>D Needs Work</t>
  </si>
  <si>
    <t>Below 5.0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</si>
</sst>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61">
    <font>
      <sz val="11.0"/>
      <color theme="1"/>
      <name val="Calibri"/>
      <scheme val="minor"/>
    </font>
    <font>
      <b/>
      <sz val="23.0"/>
      <color rgb="FFFFFFFF"/>
      <name val="Calibri"/>
    </font>
    <font/>
    <font>
      <sz val="11.0"/>
      <color theme="1"/>
      <name val="Calibri"/>
    </font>
    <font>
      <b/>
      <i/>
      <sz val="15.0"/>
      <color rgb="FFC9A84C"/>
      <name val="Calibri"/>
    </font>
    <font>
      <b/>
      <sz val="13.0"/>
      <color rgb="FFD9D9D9"/>
      <name val="Calibri"/>
    </font>
    <font>
      <sz val="13.0"/>
      <color rgb="FF1A1A2E"/>
      <name val="Calibri"/>
    </font>
    <font>
      <b/>
      <sz val="13.0"/>
      <color rgb="FF1A1A2E"/>
      <name val="Calibri"/>
    </font>
    <font>
      <sz val="13.0"/>
      <color theme="1"/>
      <name val="Calibri"/>
    </font>
    <font>
      <b/>
      <sz val="17.0"/>
      <color rgb="FF1B3A6B"/>
      <name val="Calibri"/>
    </font>
    <font>
      <b/>
      <sz val="11.0"/>
      <color rgb="FF1B3A6B"/>
      <name val="Calibri"/>
    </font>
    <font>
      <b/>
      <sz val="10.0"/>
      <color rgb="FF000000"/>
      <name val="Calibri"/>
    </font>
    <font>
      <b/>
      <sz val="14.0"/>
      <color theme="1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10.0"/>
      <color rgb="FF1B3A6B"/>
      <name val="Calibri"/>
    </font>
    <font>
      <sz val="10.0"/>
      <color theme="1"/>
      <name val="Calibri"/>
    </font>
    <font>
      <b/>
      <sz val="10.0"/>
      <color rgb="FF217346"/>
      <name val="Calibri"/>
    </font>
    <font>
      <sz val="10.0"/>
      <color rgb="FF1A1A2E"/>
      <name val="Calibri"/>
    </font>
    <font>
      <b/>
      <sz val="10.0"/>
      <color theme="7"/>
      <name val="Calibri"/>
    </font>
    <font>
      <b/>
      <sz val="10.0"/>
      <color rgb="FF1A1A2E"/>
      <name val="Calibri"/>
    </font>
    <font>
      <sz val="10.0"/>
      <color rgb="FFB8860B"/>
      <name val="Calibri"/>
    </font>
    <font>
      <sz val="10.0"/>
      <color rgb="FFC00000"/>
      <name val="Calibri"/>
    </font>
    <font>
      <b/>
      <i/>
      <sz val="15.0"/>
      <color rgb="FF000000"/>
      <name val="Calibri"/>
    </font>
    <font>
      <b/>
      <sz val="10.0"/>
      <color rgb="FF2E86C1"/>
      <name val="Calibri"/>
    </font>
    <font>
      <i/>
      <sz val="10.0"/>
      <color rgb="FF217346"/>
      <name val="Calibri"/>
    </font>
    <font>
      <b/>
      <sz val="10.0"/>
      <color rgb="FF148F77"/>
      <name val="Calibri"/>
    </font>
    <font>
      <b/>
      <sz val="10.0"/>
      <color rgb="FFB7950B"/>
      <name val="Calibri"/>
    </font>
    <font>
      <b/>
      <sz val="10.0"/>
      <color rgb="FFCA6F1E"/>
      <name val="Calibri"/>
    </font>
    <font>
      <b/>
      <sz val="10.0"/>
      <color rgb="FF7D3C98"/>
      <name val="Calibri"/>
    </font>
    <font>
      <b/>
      <sz val="10.0"/>
      <color rgb="FF1A5276"/>
      <name val="Calibri"/>
    </font>
    <font>
      <b/>
      <sz val="10.0"/>
      <color rgb="FFC00000"/>
      <name val="Calibri"/>
    </font>
    <font>
      <b/>
      <sz val="10.0"/>
      <color rgb="FFC0392B"/>
      <name val="Calibri"/>
    </font>
    <font>
      <b/>
      <sz val="9.0"/>
      <color rgb="FFFFFFFF"/>
      <name val="Calibri"/>
    </font>
    <font>
      <b/>
      <sz val="8.0"/>
      <color rgb="FFFFFFFF"/>
      <name val="Calibri"/>
    </font>
    <font>
      <sz val="11.0"/>
      <color theme="1"/>
      <name val="Arial"/>
    </font>
    <font>
      <sz val="12.0"/>
      <color rgb="FF000000"/>
      <name val="Calibri"/>
    </font>
    <font>
      <b/>
      <sz val="20.0"/>
      <color rgb="FFFFFFFF"/>
      <name val="Calibri"/>
    </font>
    <font>
      <i/>
      <sz val="11.0"/>
      <color rgb="FFC9A84C"/>
      <name val="Calibri"/>
    </font>
    <font>
      <sz val="9.0"/>
      <color rgb="FFD9D9D9"/>
      <name val="Calibri"/>
    </font>
    <font>
      <b/>
      <sz val="9.0"/>
      <color rgb="FFEA9999"/>
      <name val="Calibri"/>
    </font>
    <font>
      <sz val="9.0"/>
      <color theme="1"/>
      <name val="Calibri"/>
    </font>
    <font>
      <b/>
      <sz val="9.0"/>
      <color rgb="FF1B3A6B"/>
      <name val="Calibri"/>
    </font>
    <font>
      <sz val="11.0"/>
      <color rgb="FF000000"/>
      <name val="Calibri"/>
    </font>
    <font>
      <sz val="11.0"/>
      <color rgb="FFEA9999"/>
      <name val="Calibri"/>
    </font>
    <font>
      <color theme="1"/>
      <name val="Calibri"/>
      <scheme val="minor"/>
    </font>
    <font>
      <b/>
      <sz val="15.0"/>
      <color rgb="FFFFFFFF"/>
      <name val="Calibri"/>
    </font>
    <font>
      <i/>
      <sz val="14.0"/>
      <color rgb="FF333333"/>
      <name val="Calibri"/>
    </font>
    <font>
      <b/>
      <sz val="10.0"/>
      <color rgb="FF111111"/>
      <name val="Calibri"/>
    </font>
    <font>
      <sz val="11.0"/>
      <color rgb="FF111111"/>
      <name val="Calibri"/>
    </font>
    <font>
      <b/>
      <sz val="11.0"/>
      <color rgb="FF111111"/>
      <name val="Calibri"/>
    </font>
    <font>
      <b/>
      <sz val="12.0"/>
      <color rgb="FF111111"/>
      <name val="Calibri"/>
    </font>
    <font>
      <b/>
      <i/>
      <sz val="9.0"/>
      <color rgb="FF888888"/>
      <name val="Calibri"/>
    </font>
    <font>
      <i/>
      <sz val="11.0"/>
      <color theme="1"/>
      <name val="Calibri"/>
    </font>
    <font>
      <b/>
      <i/>
      <sz val="14.0"/>
      <color rgb="FFC9A84C"/>
      <name val="Calibri"/>
    </font>
    <font>
      <b/>
      <sz val="9.0"/>
      <color rgb="FFD9D9D9"/>
      <name val="Calibri"/>
    </font>
    <font>
      <sz val="10.0"/>
      <color rgb="FF1B3A6B"/>
      <name val="Calibri"/>
    </font>
    <font>
      <b/>
      <sz val="10.0"/>
      <color rgb="FF276221"/>
      <name val="Calibri"/>
    </font>
    <font>
      <b/>
      <sz val="10.0"/>
      <color rgb="FF9C6500"/>
      <name val="Calibri"/>
    </font>
    <font>
      <b/>
      <sz val="10.0"/>
      <color rgb="FFB8860B"/>
      <name val="Calibri"/>
    </font>
    <font>
      <b/>
      <sz val="10.0"/>
      <color rgb="FF9C0006"/>
      <name val="Calibri"/>
    </font>
  </fonts>
  <fills count="44">
    <fill>
      <patternFill patternType="none"/>
    </fill>
    <fill>
      <patternFill patternType="lightGray"/>
    </fill>
    <fill>
      <patternFill patternType="solid">
        <fgColor rgb="FF1B3A69"/>
        <bgColor rgb="FF1B3A69"/>
      </patternFill>
    </fill>
    <fill>
      <patternFill patternType="solid">
        <fgColor rgb="FFC9A84C"/>
        <bgColor rgb="FFC9A84C"/>
      </patternFill>
    </fill>
    <fill>
      <patternFill patternType="solid">
        <fgColor rgb="FFF0F4FA"/>
        <bgColor rgb="FFF0F4FA"/>
      </patternFill>
    </fill>
    <fill>
      <patternFill patternType="solid">
        <fgColor rgb="FFFFFFFF"/>
        <bgColor rgb="FFFFFFFF"/>
      </patternFill>
    </fill>
    <fill>
      <patternFill patternType="solid">
        <fgColor rgb="FF207640"/>
        <bgColor rgb="FF207640"/>
      </patternFill>
    </fill>
    <fill>
      <patternFill patternType="solid">
        <fgColor rgb="FFEEF2F8"/>
        <bgColor rgb="FFEEF2F8"/>
      </patternFill>
    </fill>
    <fill>
      <patternFill patternType="solid">
        <fgColor rgb="FFE2EFDA"/>
        <bgColor rgb="FFE2EFDA"/>
      </patternFill>
    </fill>
    <fill>
      <patternFill patternType="solid">
        <fgColor rgb="FF2E86C1"/>
        <bgColor rgb="FF2E86C1"/>
      </patternFill>
    </fill>
    <fill>
      <patternFill patternType="solid">
        <fgColor rgb="FF1E8449"/>
        <bgColor rgb="FF1E8449"/>
      </patternFill>
    </fill>
    <fill>
      <patternFill patternType="solid">
        <fgColor rgb="FFB7950B"/>
        <bgColor rgb="FFB7950B"/>
      </patternFill>
    </fill>
    <fill>
      <patternFill patternType="solid">
        <fgColor rgb="FFCA6F1E"/>
        <bgColor rgb="FFCA6F1E"/>
      </patternFill>
    </fill>
    <fill>
      <patternFill patternType="solid">
        <fgColor rgb="FF7D3C98"/>
        <bgColor rgb="FF7D3C98"/>
      </patternFill>
    </fill>
    <fill>
      <patternFill patternType="solid">
        <fgColor rgb="FF1A5276"/>
        <bgColor rgb="FF1A5276"/>
      </patternFill>
    </fill>
    <fill>
      <patternFill patternType="solid">
        <fgColor rgb="FFC0392B"/>
        <bgColor rgb="FFC0392B"/>
      </patternFill>
    </fill>
    <fill>
      <patternFill patternType="solid">
        <fgColor rgb="FF148F77"/>
        <bgColor rgb="FF148F77"/>
      </patternFill>
    </fill>
    <fill>
      <patternFill patternType="solid">
        <fgColor theme="9"/>
        <bgColor theme="9"/>
      </patternFill>
    </fill>
    <fill>
      <patternFill patternType="solid">
        <fgColor rgb="FFD6E4F0"/>
        <bgColor rgb="FFD6E4F0"/>
      </patternFill>
    </fill>
    <fill>
      <patternFill patternType="solid">
        <fgColor rgb="FFE8F4FD"/>
        <bgColor rgb="FFE8F4FD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BEEE6"/>
        <bgColor rgb="FFFBEEE6"/>
      </patternFill>
    </fill>
    <fill>
      <patternFill patternType="solid">
        <fgColor rgb="FFF4ECF7"/>
        <bgColor rgb="FFF4ECF7"/>
      </patternFill>
    </fill>
    <fill>
      <patternFill patternType="solid">
        <fgColor rgb="FFEBF5FB"/>
        <bgColor rgb="FFEBF5FB"/>
      </patternFill>
    </fill>
    <fill>
      <patternFill patternType="solid">
        <fgColor rgb="FFF0FFF4"/>
        <bgColor rgb="FFF0FFF4"/>
      </patternFill>
    </fill>
    <fill>
      <patternFill patternType="solid">
        <fgColor rgb="FFFDEDEC"/>
        <bgColor rgb="FFFDEDEC"/>
      </patternFill>
    </fill>
    <fill>
      <patternFill patternType="solid">
        <fgColor rgb="FF7030A0"/>
        <bgColor rgb="FF7030A0"/>
      </patternFill>
    </fill>
    <fill>
      <patternFill patternType="solid">
        <fgColor rgb="FF5B3F86"/>
        <bgColor rgb="FF5B3F86"/>
      </patternFill>
    </fill>
    <fill>
      <patternFill patternType="solid">
        <fgColor rgb="FFB7B7B7"/>
        <bgColor rgb="FFB7B7B7"/>
      </patternFill>
    </fill>
    <fill>
      <patternFill patternType="solid">
        <fgColor rgb="FF1F618D"/>
        <bgColor rgb="FF1F618D"/>
      </patternFill>
    </fill>
    <fill>
      <patternFill patternType="solid">
        <fgColor rgb="FFF4CCCC"/>
        <bgColor rgb="FFF4CCCC"/>
      </patternFill>
    </fill>
    <fill>
      <patternFill patternType="solid">
        <fgColor rgb="FFFFFDE7"/>
        <bgColor rgb="FFFFFDE7"/>
      </patternFill>
    </fill>
    <fill>
      <patternFill patternType="solid">
        <fgColor rgb="FF134F5C"/>
        <bgColor rgb="FF134F5C"/>
      </patternFill>
    </fill>
    <fill>
      <patternFill patternType="solid">
        <fgColor rgb="FF154360"/>
        <bgColor rgb="FF154360"/>
      </patternFill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FFE599"/>
        <bgColor rgb="FFFFE599"/>
      </patternFill>
    </fill>
    <fill>
      <patternFill patternType="solid">
        <fgColor rgb="FF283593"/>
        <bgColor rgb="FF283593"/>
      </patternFill>
    </fill>
    <fill>
      <patternFill patternType="solid">
        <fgColor rgb="FFFFF2CC"/>
        <bgColor rgb="FFFFF2CC"/>
      </patternFill>
    </fill>
    <fill>
      <patternFill patternType="solid">
        <fgColor rgb="FFFFD700"/>
        <bgColor rgb="FFFFD7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  <border>
      <left style="medium">
        <color rgb="FF1C395D"/>
      </left>
      <top style="medium">
        <color rgb="FF1C395D"/>
      </top>
      <bottom style="medium">
        <color rgb="FF1C395D"/>
      </bottom>
    </border>
    <border>
      <top style="medium">
        <color rgb="FF1C395D"/>
      </top>
      <bottom style="medium">
        <color rgb="FF1C395D"/>
      </bottom>
    </border>
    <border>
      <right style="medium">
        <color rgb="FF1C395D"/>
      </right>
      <top style="medium">
        <color rgb="FF1C395D"/>
      </top>
      <bottom style="medium">
        <color rgb="FF1C395D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CCCCCC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/>
      <bottom style="thin">
        <color rgb="FFCCCCCC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1C395D"/>
      </left>
      <top style="medium">
        <color rgb="FF1C395D"/>
      </top>
      <bottom/>
    </border>
    <border>
      <top style="medium">
        <color rgb="FF1C395D"/>
      </top>
      <bottom/>
    </border>
    <border>
      <right style="medium">
        <color rgb="FF1C395D"/>
      </right>
      <top style="medium">
        <color rgb="FF1C395D"/>
      </top>
      <bottom/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2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2" fontId="5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7" fillId="3" fontId="3" numFmtId="0" xfId="0" applyAlignment="1" applyBorder="1" applyFill="1" applyFont="1">
      <alignment shrinkToFit="0" vertical="bottom" wrapText="0"/>
    </xf>
    <xf borderId="10" fillId="4" fontId="6" numFmtId="0" xfId="0" applyAlignment="1" applyBorder="1" applyFill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7" fillId="5" fontId="8" numFmtId="0" xfId="0" applyAlignment="1" applyBorder="1" applyFill="1" applyFont="1">
      <alignment horizontal="center" shrinkToFit="0" vertical="center" wrapText="0"/>
    </xf>
    <xf borderId="10" fillId="4" fontId="9" numFmtId="0" xfId="0" applyAlignment="1" applyBorder="1" applyFont="1">
      <alignment horizontal="center" shrinkToFit="0" vertical="center" wrapText="0"/>
    </xf>
    <xf borderId="7" fillId="5" fontId="10" numFmtId="0" xfId="0" applyAlignment="1" applyBorder="1" applyFont="1">
      <alignment horizontal="center" shrinkToFit="0" vertical="center" wrapText="1"/>
    </xf>
    <xf borderId="10" fillId="4" fontId="11" numFmtId="0" xfId="0" applyAlignment="1" applyBorder="1" applyFont="1">
      <alignment horizontal="center" shrinkToFit="0" vertical="center" wrapText="0"/>
    </xf>
    <xf borderId="1" fillId="4" fontId="11" numFmtId="0" xfId="0" applyAlignment="1" applyBorder="1" applyFont="1">
      <alignment horizontal="center" shrinkToFit="0" vertical="center" wrapText="0"/>
    </xf>
    <xf borderId="7" fillId="5" fontId="12" numFmtId="0" xfId="0" applyAlignment="1" applyBorder="1" applyFont="1">
      <alignment horizontal="center" shrinkToFit="0" vertical="center" wrapText="0"/>
    </xf>
    <xf borderId="11" fillId="6" fontId="13" numFmtId="0" xfId="0" applyAlignment="1" applyBorder="1" applyFill="1" applyFont="1">
      <alignment horizontal="left" shrinkToFit="0" vertical="center" wrapText="0"/>
    </xf>
    <xf borderId="12" fillId="0" fontId="2" numFmtId="0" xfId="0" applyBorder="1" applyFont="1"/>
    <xf borderId="13" fillId="0" fontId="2" numFmtId="0" xfId="0" applyBorder="1" applyFont="1"/>
    <xf borderId="7" fillId="5" fontId="13" numFmtId="0" xfId="0" applyAlignment="1" applyBorder="1" applyFont="1">
      <alignment horizontal="left" shrinkToFit="0" vertical="center" wrapText="0"/>
    </xf>
    <xf borderId="14" fillId="2" fontId="13" numFmtId="0" xfId="0" applyAlignment="1" applyBorder="1" applyFont="1">
      <alignment horizontal="left" shrinkToFit="0" vertical="center" wrapText="0"/>
    </xf>
    <xf borderId="15" fillId="0" fontId="2" numFmtId="0" xfId="0" applyBorder="1" applyFont="1"/>
    <xf borderId="16" fillId="0" fontId="2" numFmtId="0" xfId="0" applyBorder="1" applyFont="1"/>
    <xf borderId="17" fillId="6" fontId="14" numFmtId="0" xfId="0" applyAlignment="1" applyBorder="1" applyFont="1">
      <alignment horizontal="center" shrinkToFit="0" vertical="center" wrapText="0"/>
    </xf>
    <xf borderId="18" fillId="5" fontId="14" numFmtId="0" xfId="0" applyAlignment="1" applyBorder="1" applyFont="1">
      <alignment horizontal="center" shrinkToFit="0" vertical="center" wrapText="0"/>
    </xf>
    <xf borderId="17" fillId="7" fontId="15" numFmtId="0" xfId="0" applyAlignment="1" applyBorder="1" applyFill="1" applyFont="1">
      <alignment horizontal="left" shrinkToFit="0" vertical="center" wrapText="0"/>
    </xf>
    <xf borderId="19" fillId="7" fontId="16" numFmtId="0" xfId="0" applyAlignment="1" applyBorder="1" applyFont="1">
      <alignment horizontal="left" shrinkToFit="0" vertical="center" wrapText="0"/>
    </xf>
    <xf borderId="20" fillId="0" fontId="2" numFmtId="0" xfId="0" applyBorder="1" applyFont="1"/>
    <xf borderId="21" fillId="0" fontId="2" numFmtId="0" xfId="0" applyBorder="1" applyFont="1"/>
    <xf borderId="17" fillId="8" fontId="17" numFmtId="0" xfId="0" applyAlignment="1" applyBorder="1" applyFill="1" applyFont="1">
      <alignment horizontal="left" shrinkToFit="0" vertical="center" wrapText="0"/>
    </xf>
    <xf borderId="17" fillId="8" fontId="18" numFmtId="0" xfId="0" applyAlignment="1" applyBorder="1" applyFont="1">
      <alignment horizontal="left" shrinkToFit="0" vertical="center" wrapText="1"/>
    </xf>
    <xf borderId="17" fillId="8" fontId="18" numFmtId="0" xfId="0" applyAlignment="1" applyBorder="1" applyFont="1">
      <alignment horizontal="center" shrinkToFit="0" vertical="center" wrapText="0"/>
    </xf>
    <xf borderId="18" fillId="5" fontId="19" numFmtId="0" xfId="0" applyAlignment="1" applyBorder="1" applyFont="1">
      <alignment horizontal="left" shrinkToFit="0" vertical="center" wrapText="0"/>
    </xf>
    <xf borderId="18" fillId="5" fontId="16" numFmtId="0" xfId="0" applyAlignment="1" applyBorder="1" applyFont="1">
      <alignment horizontal="left" shrinkToFit="0" vertical="center" wrapText="1"/>
    </xf>
    <xf borderId="18" fillId="5" fontId="16" numFmtId="0" xfId="0" applyAlignment="1" applyBorder="1" applyFont="1">
      <alignment horizontal="center" shrinkToFit="0" vertical="center" wrapText="0"/>
    </xf>
    <xf borderId="17" fillId="5" fontId="15" numFmtId="0" xfId="0" applyAlignment="1" applyBorder="1" applyFont="1">
      <alignment horizontal="left" shrinkToFit="0" vertical="center" wrapText="0"/>
    </xf>
    <xf borderId="19" fillId="5" fontId="16" numFmtId="0" xfId="0" applyAlignment="1" applyBorder="1" applyFont="1">
      <alignment horizontal="left" shrinkToFit="0" vertical="center" wrapText="0"/>
    </xf>
    <xf borderId="17" fillId="5" fontId="17" numFmtId="0" xfId="0" applyAlignment="1" applyBorder="1" applyFont="1">
      <alignment horizontal="left" shrinkToFit="0" vertical="center" wrapText="0"/>
    </xf>
    <xf borderId="17" fillId="5" fontId="18" numFmtId="0" xfId="0" applyAlignment="1" applyBorder="1" applyFont="1">
      <alignment horizontal="left" shrinkToFit="0" vertical="center" wrapText="1"/>
    </xf>
    <xf borderId="17" fillId="5" fontId="18" numFmtId="0" xfId="0" applyAlignment="1" applyBorder="1" applyFont="1">
      <alignment horizontal="center" shrinkToFit="0" vertical="center" wrapText="0"/>
    </xf>
    <xf borderId="17" fillId="2" fontId="14" numFmtId="0" xfId="0" applyAlignment="1" applyBorder="1" applyFont="1">
      <alignment horizontal="center" shrinkToFit="0" vertical="center" wrapText="1"/>
    </xf>
    <xf borderId="17" fillId="9" fontId="14" numFmtId="0" xfId="0" applyAlignment="1" applyBorder="1" applyFill="1" applyFont="1">
      <alignment horizontal="center" shrinkToFit="0" vertical="center" wrapText="0"/>
    </xf>
    <xf borderId="17" fillId="7" fontId="20" numFmtId="0" xfId="0" applyAlignment="1" applyBorder="1" applyFont="1">
      <alignment horizontal="left" shrinkToFit="0" vertical="center" wrapText="0"/>
    </xf>
    <xf borderId="17" fillId="7" fontId="18" numFmtId="0" xfId="0" applyAlignment="1" applyBorder="1" applyFont="1">
      <alignment horizontal="left" shrinkToFit="0" vertical="center" wrapText="1"/>
    </xf>
    <xf borderId="17" fillId="7" fontId="15" numFmtId="0" xfId="0" applyAlignment="1" applyBorder="1" applyFont="1">
      <alignment horizontal="center" shrinkToFit="0" vertical="center" wrapText="0"/>
    </xf>
    <xf borderId="17" fillId="7" fontId="21" numFmtId="0" xfId="0" applyAlignment="1" applyBorder="1" applyFont="1">
      <alignment horizontal="center" shrinkToFit="0" vertical="center" wrapText="0"/>
    </xf>
    <xf borderId="17" fillId="7" fontId="22" numFmtId="0" xfId="0" applyAlignment="1" applyBorder="1" applyFont="1">
      <alignment horizontal="center" shrinkToFit="0" vertical="center" wrapText="0"/>
    </xf>
    <xf borderId="17" fillId="10" fontId="14" numFmtId="0" xfId="0" applyAlignment="1" applyBorder="1" applyFill="1" applyFont="1">
      <alignment horizontal="center" shrinkToFit="0" vertical="center" wrapText="0"/>
    </xf>
    <xf borderId="17" fillId="5" fontId="20" numFmtId="0" xfId="0" applyAlignment="1" applyBorder="1" applyFont="1">
      <alignment horizontal="left" readingOrder="0" shrinkToFit="0" vertical="center" wrapText="0"/>
    </xf>
    <xf borderId="17" fillId="5" fontId="15" numFmtId="0" xfId="0" applyAlignment="1" applyBorder="1" applyFont="1">
      <alignment horizontal="center" shrinkToFit="0" vertical="center" wrapText="0"/>
    </xf>
    <xf borderId="17" fillId="5" fontId="21" numFmtId="0" xfId="0" applyAlignment="1" applyBorder="1" applyFont="1">
      <alignment horizontal="center" shrinkToFit="0" vertical="center" wrapText="0"/>
    </xf>
    <xf borderId="17" fillId="5" fontId="22" numFmtId="0" xfId="0" applyAlignment="1" applyBorder="1" applyFont="1">
      <alignment horizontal="center" shrinkToFit="0" vertical="center" wrapText="0"/>
    </xf>
    <xf borderId="17" fillId="11" fontId="14" numFmtId="0" xfId="0" applyAlignment="1" applyBorder="1" applyFill="1" applyFont="1">
      <alignment horizontal="center" shrinkToFit="0" vertical="center" wrapText="0"/>
    </xf>
    <xf borderId="17" fillId="12" fontId="14" numFmtId="0" xfId="0" applyAlignment="1" applyBorder="1" applyFill="1" applyFont="1">
      <alignment horizontal="center" shrinkToFit="0" vertical="center" wrapText="0"/>
    </xf>
    <xf borderId="17" fillId="5" fontId="20" numFmtId="0" xfId="0" applyAlignment="1" applyBorder="1" applyFont="1">
      <alignment horizontal="left" shrinkToFit="0" vertical="center" wrapText="0"/>
    </xf>
    <xf borderId="17" fillId="13" fontId="14" numFmtId="0" xfId="0" applyAlignment="1" applyBorder="1" applyFill="1" applyFont="1">
      <alignment horizontal="center" shrinkToFit="0" vertical="center" wrapText="0"/>
    </xf>
    <xf borderId="17" fillId="14" fontId="14" numFmtId="0" xfId="0" applyAlignment="1" applyBorder="1" applyFill="1" applyFont="1">
      <alignment horizontal="center" shrinkToFit="0" vertical="center" wrapText="0"/>
    </xf>
    <xf borderId="17" fillId="15" fontId="14" numFmtId="0" xfId="0" applyAlignment="1" applyBorder="1" applyFill="1" applyFont="1">
      <alignment horizontal="center" shrinkToFit="0" vertical="center" wrapText="0"/>
    </xf>
    <xf borderId="17" fillId="16" fontId="14" numFmtId="0" xfId="0" applyAlignment="1" applyBorder="1" applyFill="1" applyFont="1">
      <alignment horizontal="center" shrinkToFit="0" vertical="center" wrapText="0"/>
    </xf>
    <xf borderId="17" fillId="5" fontId="20" numFmtId="0" xfId="0" applyAlignment="1" applyBorder="1" applyFont="1">
      <alignment horizontal="left" shrinkToFit="0" vertical="center" wrapText="1"/>
    </xf>
    <xf borderId="1" fillId="17" fontId="1" numFmtId="0" xfId="0" applyAlignment="1" applyBorder="1" applyFill="1" applyFont="1">
      <alignment horizontal="center" shrinkToFit="0" vertical="center" wrapText="0"/>
    </xf>
    <xf borderId="22" fillId="17" fontId="23" numFmtId="0" xfId="0" applyAlignment="1" applyBorder="1" applyFon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4" fillId="0" fontId="2" numFmtId="0" xfId="0" applyBorder="1" applyFont="1"/>
    <xf borderId="14" fillId="9" fontId="13" numFmtId="0" xfId="0" applyAlignment="1" applyBorder="1" applyFont="1">
      <alignment horizontal="center" shrinkToFit="0" vertical="center" wrapText="0"/>
    </xf>
    <xf borderId="17" fillId="18" fontId="24" numFmtId="0" xfId="0" applyAlignment="1" applyBorder="1" applyFill="1" applyFont="1">
      <alignment horizontal="center" shrinkToFit="0" vertical="center" wrapText="1"/>
    </xf>
    <xf borderId="17" fillId="19" fontId="17" numFmtId="0" xfId="0" applyAlignment="1" applyBorder="1" applyFill="1" applyFont="1">
      <alignment horizontal="center" shrinkToFit="0" vertical="center" wrapText="0"/>
    </xf>
    <xf borderId="17" fillId="5" fontId="20" numFmtId="0" xfId="0" applyAlignment="1" applyBorder="1" applyFont="1">
      <alignment horizontal="center" shrinkToFit="0" vertical="center" wrapText="1"/>
    </xf>
    <xf borderId="17" fillId="5" fontId="18" numFmtId="0" xfId="0" applyAlignment="1" applyBorder="1" applyFont="1">
      <alignment horizontal="center" shrinkToFit="0" vertical="center" wrapText="1"/>
    </xf>
    <xf borderId="17" fillId="7" fontId="18" numFmtId="0" xfId="0" applyAlignment="1" applyBorder="1" applyFont="1">
      <alignment horizontal="center" shrinkToFit="0" vertical="center" wrapText="1"/>
    </xf>
    <xf borderId="17" fillId="8" fontId="25" numFmtId="0" xfId="0" applyAlignment="1" applyBorder="1" applyFont="1">
      <alignment horizontal="center" shrinkToFit="0" vertical="center" wrapText="1"/>
    </xf>
    <xf borderId="14" fillId="10" fontId="13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shrinkToFit="0" vertical="bottom" wrapText="0"/>
    </xf>
    <xf borderId="17" fillId="20" fontId="26" numFmtId="0" xfId="0" applyAlignment="1" applyBorder="1" applyFill="1" applyFont="1">
      <alignment horizontal="center" shrinkToFit="0" vertical="center" wrapText="1"/>
    </xf>
    <xf borderId="14" fillId="11" fontId="13" numFmtId="0" xfId="0" applyAlignment="1" applyBorder="1" applyFont="1">
      <alignment horizontal="center" shrinkToFit="0" vertical="center" wrapText="0"/>
    </xf>
    <xf borderId="17" fillId="21" fontId="27" numFmtId="0" xfId="0" applyAlignment="1" applyBorder="1" applyFill="1" applyFont="1">
      <alignment horizontal="center" shrinkToFit="0" vertical="center" wrapText="1"/>
    </xf>
    <xf borderId="14" fillId="12" fontId="13" numFmtId="0" xfId="0" applyAlignment="1" applyBorder="1" applyFont="1">
      <alignment horizontal="center" shrinkToFit="0" vertical="center" wrapText="0"/>
    </xf>
    <xf borderId="17" fillId="22" fontId="28" numFmtId="0" xfId="0" applyAlignment="1" applyBorder="1" applyFill="1" applyFont="1">
      <alignment horizontal="center" shrinkToFit="0" vertical="center" wrapText="1"/>
    </xf>
    <xf borderId="14" fillId="13" fontId="13" numFmtId="0" xfId="0" applyAlignment="1" applyBorder="1" applyFont="1">
      <alignment horizontal="center" shrinkToFit="0" vertical="center" wrapText="0"/>
    </xf>
    <xf borderId="17" fillId="23" fontId="29" numFmtId="0" xfId="0" applyAlignment="1" applyBorder="1" applyFill="1" applyFont="1">
      <alignment horizontal="center" shrinkToFit="0" vertical="center" wrapText="1"/>
    </xf>
    <xf borderId="14" fillId="14" fontId="13" numFmtId="0" xfId="0" applyAlignment="1" applyBorder="1" applyFont="1">
      <alignment horizontal="center" shrinkToFit="0" vertical="center" wrapText="0"/>
    </xf>
    <xf borderId="17" fillId="24" fontId="30" numFmtId="0" xfId="0" applyAlignment="1" applyBorder="1" applyFill="1" applyFont="1">
      <alignment horizontal="center" shrinkToFit="0" vertical="center" wrapText="1"/>
    </xf>
    <xf borderId="17" fillId="25" fontId="31" numFmtId="0" xfId="0" applyAlignment="1" applyBorder="1" applyFill="1" applyFont="1">
      <alignment horizontal="center" shrinkToFit="0" vertical="center" wrapText="0"/>
    </xf>
    <xf borderId="14" fillId="15" fontId="13" numFmtId="0" xfId="0" applyAlignment="1" applyBorder="1" applyFont="1">
      <alignment horizontal="center" shrinkToFit="0" vertical="center" wrapText="0"/>
    </xf>
    <xf borderId="17" fillId="26" fontId="32" numFmtId="0" xfId="0" applyAlignment="1" applyBorder="1" applyFill="1" applyFont="1">
      <alignment horizontal="center" shrinkToFit="0" vertical="center" wrapText="1"/>
    </xf>
    <xf borderId="14" fillId="16" fontId="13" numFmtId="0" xfId="0" applyAlignment="1" applyBorder="1" applyFont="1">
      <alignment horizontal="center" shrinkToFit="0" vertical="center" wrapText="0"/>
    </xf>
    <xf borderId="25" fillId="27" fontId="14" numFmtId="0" xfId="0" applyAlignment="1" applyBorder="1" applyFill="1" applyFont="1">
      <alignment horizontal="center" shrinkToFit="0" vertical="center" wrapText="1"/>
    </xf>
    <xf borderId="10" fillId="28" fontId="33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10" fillId="28" fontId="34" numFmtId="0" xfId="0" applyAlignment="1" applyBorder="1" applyFont="1">
      <alignment horizontal="center" shrinkToFit="0" vertical="center" wrapText="0"/>
    </xf>
    <xf borderId="10" fillId="5" fontId="35" numFmtId="0" xfId="0" applyAlignment="1" applyBorder="1" applyFont="1">
      <alignment horizontal="center" shrinkToFit="0" vertical="center" wrapText="0"/>
    </xf>
    <xf borderId="10" fillId="0" fontId="36" numFmtId="0" xfId="0" applyAlignment="1" applyBorder="1" applyFont="1">
      <alignment horizontal="center" readingOrder="0" shrinkToFit="0" vertical="center" wrapText="0"/>
    </xf>
    <xf borderId="10" fillId="0" fontId="36" numFmtId="0" xfId="0" applyAlignment="1" applyBorder="1" applyFont="1">
      <alignment horizontal="left" readingOrder="0" shrinkToFit="0" vertical="center" wrapText="0"/>
    </xf>
    <xf borderId="10" fillId="5" fontId="35" numFmtId="0" xfId="0" applyAlignment="1" applyBorder="1" applyFont="1">
      <alignment horizontal="center" readingOrder="0" shrinkToFit="0" vertical="center" wrapText="0"/>
    </xf>
    <xf borderId="25" fillId="5" fontId="35" numFmtId="0" xfId="0" applyAlignment="1" applyBorder="1" applyFont="1">
      <alignment horizontal="center" shrinkToFit="0" vertical="center" wrapText="0"/>
    </xf>
    <xf borderId="10" fillId="5" fontId="3" numFmtId="0" xfId="0" applyAlignment="1" applyBorder="1" applyFont="1">
      <alignment horizontal="center" shrinkToFit="0" vertical="center" wrapText="0"/>
    </xf>
    <xf borderId="27" fillId="0" fontId="2" numFmtId="0" xfId="0" applyBorder="1" applyFont="1"/>
    <xf borderId="10" fillId="29" fontId="35" numFmtId="0" xfId="0" applyAlignment="1" applyBorder="1" applyFill="1" applyFont="1">
      <alignment horizontal="center" shrinkToFit="0" vertical="center" wrapText="0"/>
    </xf>
    <xf borderId="10" fillId="29" fontId="3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horizontal="center" shrinkToFit="0" vertical="bottom" wrapText="0"/>
    </xf>
    <xf borderId="10" fillId="29" fontId="3" numFmtId="0" xfId="0" applyAlignment="1" applyBorder="1" applyFont="1">
      <alignment horizontal="center" shrinkToFit="0" vertical="bottom" wrapText="0"/>
    </xf>
    <xf borderId="18" fillId="5" fontId="3" numFmtId="0" xfId="0" applyAlignment="1" applyBorder="1" applyFont="1">
      <alignment horizontal="center" shrinkToFit="0" vertical="center" wrapText="0"/>
    </xf>
    <xf borderId="7" fillId="2" fontId="37" numFmtId="0" xfId="0" applyAlignment="1" applyBorder="1" applyFont="1">
      <alignment horizontal="center" shrinkToFit="0" vertical="center" wrapText="0"/>
    </xf>
    <xf borderId="18" fillId="2" fontId="37" numFmtId="0" xfId="0" applyAlignment="1" applyBorder="1" applyFont="1">
      <alignment horizontal="center" shrinkToFit="0" vertical="center" wrapText="0"/>
    </xf>
    <xf borderId="7" fillId="2" fontId="38" numFmtId="0" xfId="0" applyAlignment="1" applyBorder="1" applyFont="1">
      <alignment horizontal="center" shrinkToFit="0" vertical="center" wrapText="0"/>
    </xf>
    <xf borderId="18" fillId="2" fontId="38" numFmtId="0" xfId="0" applyAlignment="1" applyBorder="1" applyFont="1">
      <alignment horizontal="center" shrinkToFit="0" vertical="center" wrapText="0"/>
    </xf>
    <xf borderId="7" fillId="2" fontId="39" numFmtId="0" xfId="0" applyAlignment="1" applyBorder="1" applyFont="1">
      <alignment horizontal="center" shrinkToFit="0" vertical="center" wrapText="0"/>
    </xf>
    <xf borderId="18" fillId="2" fontId="39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shrinkToFit="0" vertical="center" wrapText="0"/>
    </xf>
    <xf borderId="18" fillId="3" fontId="3" numFmtId="0" xfId="0" applyAlignment="1" applyBorder="1" applyFont="1">
      <alignment shrinkToFit="0" vertical="center" wrapText="0"/>
    </xf>
    <xf borderId="28" fillId="2" fontId="14" numFmtId="0" xfId="0" applyAlignment="1" applyBorder="1" applyFont="1">
      <alignment horizontal="center" shrinkToFit="0" vertical="center" wrapText="1"/>
    </xf>
    <xf borderId="28" fillId="2" fontId="14" numFmtId="0" xfId="0" applyAlignment="1" applyBorder="1" applyFont="1">
      <alignment horizontal="center" readingOrder="0" shrinkToFit="0" vertical="center" wrapText="1"/>
    </xf>
    <xf borderId="29" fillId="9" fontId="33" numFmtId="0" xfId="0" applyAlignment="1" applyBorder="1" applyFont="1">
      <alignment horizontal="center" shrinkToFit="0" vertical="center" wrapText="0"/>
    </xf>
    <xf borderId="25" fillId="30" fontId="33" numFmtId="0" xfId="0" applyAlignment="1" applyBorder="1" applyFill="1" applyFont="1">
      <alignment horizontal="center" shrinkToFit="0" vertical="center" wrapText="1"/>
    </xf>
    <xf borderId="25" fillId="31" fontId="40" numFmtId="0" xfId="0" applyAlignment="1" applyBorder="1" applyFill="1" applyFont="1">
      <alignment horizontal="center" shrinkToFit="0" vertical="center" wrapText="1"/>
    </xf>
    <xf borderId="25" fillId="30" fontId="33" numFmtId="0" xfId="0" applyAlignment="1" applyBorder="1" applyFont="1">
      <alignment horizontal="center" shrinkToFit="0" vertical="center" wrapText="0"/>
    </xf>
    <xf borderId="18" fillId="30" fontId="33" numFmtId="0" xfId="0" applyAlignment="1" applyBorder="1" applyFont="1">
      <alignment horizontal="center" shrinkToFit="0" vertical="center" wrapText="0"/>
    </xf>
    <xf borderId="30" fillId="0" fontId="2" numFmtId="0" xfId="0" applyBorder="1" applyFont="1"/>
    <xf borderId="10" fillId="9" fontId="34" numFmtId="0" xfId="0" applyAlignment="1" applyBorder="1" applyFont="1">
      <alignment horizontal="center" shrinkToFit="0" vertical="center" wrapText="0"/>
    </xf>
    <xf borderId="31" fillId="0" fontId="2" numFmtId="0" xfId="0" applyBorder="1" applyFont="1"/>
    <xf borderId="19" fillId="7" fontId="18" numFmtId="0" xfId="0" applyAlignment="1" applyBorder="1" applyFont="1">
      <alignment horizontal="center" shrinkToFit="0" vertical="center" wrapText="0"/>
    </xf>
    <xf borderId="10" fillId="0" fontId="35" numFmtId="0" xfId="0" applyAlignment="1" applyBorder="1" applyFont="1">
      <alignment shrinkToFit="0" vertical="center" wrapText="0"/>
    </xf>
    <xf borderId="10" fillId="7" fontId="18" numFmtId="0" xfId="0" applyAlignment="1" applyBorder="1" applyFont="1">
      <alignment horizontal="center" shrinkToFit="0" vertical="center" wrapText="0"/>
    </xf>
    <xf borderId="10" fillId="32" fontId="41" numFmtId="164" xfId="0" applyAlignment="1" applyBorder="1" applyFill="1" applyFont="1" applyNumberFormat="1">
      <alignment horizontal="center" shrinkToFit="0" vertical="center" wrapText="0"/>
    </xf>
    <xf borderId="10" fillId="4" fontId="42" numFmtId="164" xfId="0" applyAlignment="1" applyBorder="1" applyFont="1" applyNumberFormat="1">
      <alignment horizontal="center" shrinkToFit="0" vertical="center" wrapText="0"/>
    </xf>
    <xf borderId="10" fillId="31" fontId="40" numFmtId="2" xfId="0" applyAlignment="1" applyBorder="1" applyFont="1" applyNumberFormat="1">
      <alignment horizontal="center" shrinkToFit="0" vertical="center" wrapText="0"/>
    </xf>
    <xf borderId="10" fillId="4" fontId="41" numFmtId="0" xfId="0" applyAlignment="1" applyBorder="1" applyFont="1">
      <alignment horizontal="center" shrinkToFit="0" vertical="center" wrapText="0"/>
    </xf>
    <xf borderId="18" fillId="4" fontId="41" numFmtId="0" xfId="0" applyAlignment="1" applyBorder="1" applyFont="1">
      <alignment horizontal="center" shrinkToFit="0" vertical="center" wrapText="0"/>
    </xf>
    <xf borderId="10" fillId="0" fontId="43" numFmtId="0" xfId="0" applyAlignment="1" applyBorder="1" applyFont="1">
      <alignment shrinkToFit="0" vertical="bottom" wrapText="0"/>
    </xf>
    <xf borderId="10" fillId="0" fontId="43" numFmtId="0" xfId="0" applyAlignment="1" applyBorder="1" applyFont="1">
      <alignment horizontal="left" readingOrder="0" shrinkToFit="0" vertical="bottom" wrapText="0"/>
    </xf>
    <xf borderId="10" fillId="0" fontId="43" numFmtId="0" xfId="0" applyAlignment="1" applyBorder="1" applyFont="1">
      <alignment readingOrder="0" shrinkToFit="0" vertical="bottom" wrapText="0"/>
    </xf>
    <xf borderId="32" fillId="7" fontId="18" numFmtId="0" xfId="0" applyAlignment="1" applyBorder="1" applyFont="1">
      <alignment horizontal="center" shrinkToFit="0" vertical="center" wrapText="0"/>
    </xf>
    <xf borderId="19" fillId="2" fontId="14" numFmtId="0" xfId="0" applyAlignment="1" applyBorder="1" applyFont="1">
      <alignment horizontal="center" shrinkToFit="0" vertical="center" wrapText="0"/>
    </xf>
    <xf borderId="33" fillId="2" fontId="33" numFmtId="164" xfId="0" applyAlignment="1" applyBorder="1" applyFont="1" applyNumberFormat="1">
      <alignment horizontal="center" shrinkToFit="0" vertical="center" wrapText="0"/>
    </xf>
    <xf borderId="33" fillId="31" fontId="40" numFmtId="164" xfId="0" applyAlignment="1" applyBorder="1" applyFont="1" applyNumberFormat="1">
      <alignment horizontal="center" shrinkToFit="0" vertical="center" wrapText="0"/>
    </xf>
    <xf borderId="33" fillId="2" fontId="3" numFmtId="0" xfId="0" applyAlignment="1" applyBorder="1" applyFont="1">
      <alignment shrinkToFit="0" vertical="center" wrapText="0"/>
    </xf>
    <xf borderId="18" fillId="2" fontId="3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18" fillId="31" fontId="44" numFmtId="0" xfId="0" applyAlignment="1" applyBorder="1" applyFont="1">
      <alignment shrinkToFit="0" vertical="center" wrapText="0"/>
    </xf>
    <xf borderId="25" fillId="33" fontId="14" numFmtId="0" xfId="0" applyAlignment="1" applyBorder="1" applyFill="1" applyFont="1">
      <alignment horizontal="center" shrinkToFit="0" vertical="center" wrapText="1"/>
    </xf>
    <xf borderId="10" fillId="9" fontId="33" numFmtId="0" xfId="0" applyAlignment="1" applyBorder="1" applyFont="1">
      <alignment horizontal="center" shrinkToFit="0" vertical="center" wrapText="0"/>
    </xf>
    <xf borderId="18" fillId="9" fontId="33" numFmtId="0" xfId="0" applyAlignment="1" applyBorder="1" applyFont="1">
      <alignment horizontal="center" shrinkToFit="0" vertical="center" wrapText="0"/>
    </xf>
    <xf borderId="18" fillId="34" fontId="34" numFmtId="0" xfId="0" applyAlignment="1" applyBorder="1" applyFill="1" applyFont="1">
      <alignment horizontal="center" shrinkToFit="0" vertical="center" wrapText="0"/>
    </xf>
    <xf borderId="25" fillId="5" fontId="35" numFmtId="0" xfId="0" applyAlignment="1" applyBorder="1" applyFont="1">
      <alignment horizontal="center" readingOrder="0" shrinkToFit="0" vertical="center" wrapText="0"/>
    </xf>
    <xf borderId="0" fillId="0" fontId="45" numFmtId="0" xfId="0" applyAlignment="1" applyFont="1">
      <alignment readingOrder="0"/>
    </xf>
    <xf borderId="1" fillId="35" fontId="46" numFmtId="0" xfId="0" applyAlignment="1" applyBorder="1" applyFill="1" applyFont="1">
      <alignment horizontal="center" shrinkToFit="0" vertical="center" wrapText="0"/>
    </xf>
    <xf borderId="34" fillId="0" fontId="2" numFmtId="0" xfId="0" applyBorder="1" applyFont="1"/>
    <xf borderId="1" fillId="36" fontId="47" numFmtId="0" xfId="0" applyAlignment="1" applyBorder="1" applyFill="1" applyFont="1">
      <alignment horizontal="center" shrinkToFit="0" vertical="center" wrapText="0"/>
    </xf>
    <xf borderId="1" fillId="37" fontId="47" numFmtId="0" xfId="0" applyAlignment="1" applyBorder="1" applyFill="1" applyFont="1">
      <alignment horizontal="center" shrinkToFit="0" vertical="center" wrapText="0"/>
    </xf>
    <xf borderId="10" fillId="38" fontId="14" numFmtId="0" xfId="0" applyAlignment="1" applyBorder="1" applyFill="1" applyFont="1">
      <alignment horizontal="center" shrinkToFit="0" vertical="center" wrapText="1"/>
    </xf>
    <xf borderId="10" fillId="39" fontId="48" numFmtId="0" xfId="0" applyAlignment="1" applyBorder="1" applyFill="1" applyFont="1">
      <alignment horizontal="center" shrinkToFit="0" vertical="center" wrapText="0"/>
    </xf>
    <xf borderId="10" fillId="39" fontId="49" numFmtId="0" xfId="0" applyAlignment="1" applyBorder="1" applyFont="1">
      <alignment horizontal="center" shrinkToFit="0" vertical="bottom" wrapText="0"/>
    </xf>
    <xf borderId="10" fillId="39" fontId="50" numFmtId="0" xfId="0" applyAlignment="1" applyBorder="1" applyFont="1">
      <alignment shrinkToFit="0" vertical="bottom" wrapText="0"/>
    </xf>
    <xf borderId="10" fillId="39" fontId="51" numFmtId="164" xfId="0" applyAlignment="1" applyBorder="1" applyFont="1" applyNumberFormat="1">
      <alignment horizontal="center" shrinkToFit="0" vertical="bottom" wrapText="0"/>
    </xf>
    <xf borderId="10" fillId="39" fontId="49" numFmtId="164" xfId="0" applyAlignment="1" applyBorder="1" applyFont="1" applyNumberFormat="1">
      <alignment horizontal="center" shrinkToFit="0" vertical="bottom" wrapText="0"/>
    </xf>
    <xf borderId="10" fillId="39" fontId="51" numFmtId="0" xfId="0" applyAlignment="1" applyBorder="1" applyFont="1">
      <alignment horizontal="center" shrinkToFit="0" vertical="bottom" wrapText="0"/>
    </xf>
    <xf borderId="18" fillId="40" fontId="48" numFmtId="0" xfId="0" applyAlignment="1" applyBorder="1" applyFill="1" applyFont="1">
      <alignment horizontal="center" shrinkToFit="0" vertical="center" wrapText="0"/>
    </xf>
    <xf borderId="18" fillId="40" fontId="49" numFmtId="0" xfId="0" applyAlignment="1" applyBorder="1" applyFont="1">
      <alignment horizontal="center" shrinkToFit="0" vertical="bottom" wrapText="0"/>
    </xf>
    <xf borderId="18" fillId="40" fontId="50" numFmtId="0" xfId="0" applyAlignment="1" applyBorder="1" applyFont="1">
      <alignment shrinkToFit="0" vertical="bottom" wrapText="0"/>
    </xf>
    <xf borderId="18" fillId="40" fontId="51" numFmtId="0" xfId="0" applyAlignment="1" applyBorder="1" applyFont="1">
      <alignment horizontal="center" shrinkToFit="0" vertical="bottom" wrapText="0"/>
    </xf>
    <xf borderId="18" fillId="40" fontId="49" numFmtId="164" xfId="0" applyAlignment="1" applyBorder="1" applyFont="1" applyNumberFormat="1">
      <alignment horizontal="center" shrinkToFit="0" vertical="bottom" wrapText="0"/>
    </xf>
    <xf borderId="0" fillId="0" fontId="52" numFmtId="0" xfId="0" applyAlignment="1" applyFont="1">
      <alignment horizontal="center" shrinkToFit="0" vertical="bottom" wrapText="0"/>
    </xf>
    <xf borderId="0" fillId="0" fontId="53" numFmtId="0" xfId="0" applyAlignment="1" applyFont="1">
      <alignment horizontal="center" shrinkToFit="0" vertical="bottom" wrapText="0"/>
    </xf>
    <xf borderId="7" fillId="2" fontId="37" numFmtId="0" xfId="0" applyAlignment="1" applyBorder="1" applyFont="1">
      <alignment horizontal="center" shrinkToFit="0" vertical="center" wrapText="1"/>
    </xf>
    <xf borderId="7" fillId="2" fontId="54" numFmtId="0" xfId="0" applyAlignment="1" applyBorder="1" applyFont="1">
      <alignment horizontal="center" shrinkToFit="0" vertical="center" wrapText="0"/>
    </xf>
    <xf borderId="7" fillId="2" fontId="55" numFmtId="0" xfId="0" applyAlignment="1" applyBorder="1" applyFont="1">
      <alignment horizontal="center" shrinkToFit="0" vertical="center" wrapText="0"/>
    </xf>
    <xf borderId="35" fillId="2" fontId="14" numFmtId="0" xfId="0" applyAlignment="1" applyBorder="1" applyFont="1">
      <alignment horizontal="center" shrinkToFit="0" vertical="center" wrapText="1"/>
    </xf>
    <xf borderId="10" fillId="9" fontId="14" numFmtId="0" xfId="0" applyAlignment="1" applyBorder="1" applyFont="1">
      <alignment horizontal="center" shrinkToFit="0" vertical="center" wrapText="0"/>
    </xf>
    <xf borderId="10" fillId="5" fontId="24" numFmtId="0" xfId="0" applyAlignment="1" applyBorder="1" applyFont="1">
      <alignment horizontal="center" shrinkToFit="0" vertical="center" wrapText="1"/>
    </xf>
    <xf borderId="10" fillId="5" fontId="16" numFmtId="2" xfId="0" applyAlignment="1" applyBorder="1" applyFont="1" applyNumberFormat="1">
      <alignment horizontal="center" shrinkToFit="0" vertical="center" wrapText="0"/>
    </xf>
    <xf borderId="36" fillId="4" fontId="15" numFmtId="2" xfId="0" applyAlignment="1" applyBorder="1" applyFont="1" applyNumberFormat="1">
      <alignment horizontal="center" shrinkToFit="0" vertical="center" wrapText="0"/>
    </xf>
    <xf borderId="17" fillId="5" fontId="16" numFmtId="0" xfId="0" applyAlignment="1" applyBorder="1" applyFont="1">
      <alignment horizontal="center" shrinkToFit="0" vertical="center" wrapText="0"/>
    </xf>
    <xf borderId="17" fillId="5" fontId="56" numFmtId="165" xfId="0" applyAlignment="1" applyBorder="1" applyFont="1" applyNumberFormat="1">
      <alignment horizontal="center" shrinkToFit="0" vertical="center" wrapText="0"/>
    </xf>
    <xf borderId="10" fillId="10" fontId="14" numFmtId="0" xfId="0" applyAlignment="1" applyBorder="1" applyFont="1">
      <alignment horizontal="center" shrinkToFit="0" vertical="center" wrapText="0"/>
    </xf>
    <xf borderId="10" fillId="24" fontId="26" numFmtId="0" xfId="0" applyAlignment="1" applyBorder="1" applyFont="1">
      <alignment horizontal="center" shrinkToFit="0" vertical="center" wrapText="1"/>
    </xf>
    <xf borderId="10" fillId="24" fontId="16" numFmtId="2" xfId="0" applyAlignment="1" applyBorder="1" applyFont="1" applyNumberFormat="1">
      <alignment horizontal="center" shrinkToFit="0" vertical="center" wrapText="0"/>
    </xf>
    <xf borderId="17" fillId="7" fontId="16" numFmtId="0" xfId="0" applyAlignment="1" applyBorder="1" applyFont="1">
      <alignment horizontal="center" shrinkToFit="0" vertical="center" wrapText="0"/>
    </xf>
    <xf borderId="17" fillId="7" fontId="56" numFmtId="165" xfId="0" applyAlignment="1" applyBorder="1" applyFont="1" applyNumberFormat="1">
      <alignment horizontal="center" shrinkToFit="0" vertical="center" wrapText="0"/>
    </xf>
    <xf borderId="10" fillId="11" fontId="14" numFmtId="0" xfId="0" applyAlignment="1" applyBorder="1" applyFont="1">
      <alignment horizontal="center" shrinkToFit="0" vertical="center" wrapText="0"/>
    </xf>
    <xf borderId="10" fillId="5" fontId="27" numFmtId="0" xfId="0" applyAlignment="1" applyBorder="1" applyFont="1">
      <alignment horizontal="center" shrinkToFit="0" vertical="center" wrapText="1"/>
    </xf>
    <xf borderId="10" fillId="12" fontId="14" numFmtId="0" xfId="0" applyAlignment="1" applyBorder="1" applyFont="1">
      <alignment horizontal="center" shrinkToFit="0" vertical="center" wrapText="0"/>
    </xf>
    <xf borderId="10" fillId="24" fontId="28" numFmtId="0" xfId="0" applyAlignment="1" applyBorder="1" applyFont="1">
      <alignment horizontal="center" shrinkToFit="0" vertical="center" wrapText="1"/>
    </xf>
    <xf borderId="10" fillId="13" fontId="14" numFmtId="0" xfId="0" applyAlignment="1" applyBorder="1" applyFont="1">
      <alignment horizontal="center" shrinkToFit="0" vertical="center" wrapText="0"/>
    </xf>
    <xf borderId="10" fillId="5" fontId="29" numFmtId="0" xfId="0" applyAlignment="1" applyBorder="1" applyFont="1">
      <alignment horizontal="center" shrinkToFit="0" vertical="center" wrapText="1"/>
    </xf>
    <xf borderId="10" fillId="14" fontId="14" numFmtId="0" xfId="0" applyAlignment="1" applyBorder="1" applyFont="1">
      <alignment horizontal="center" shrinkToFit="0" vertical="center" wrapText="0"/>
    </xf>
    <xf borderId="10" fillId="24" fontId="30" numFmtId="0" xfId="0" applyAlignment="1" applyBorder="1" applyFont="1">
      <alignment horizontal="center" shrinkToFit="0" vertical="center" wrapText="1"/>
    </xf>
    <xf borderId="10" fillId="15" fontId="14" numFmtId="0" xfId="0" applyAlignment="1" applyBorder="1" applyFont="1">
      <alignment horizontal="center" shrinkToFit="0" vertical="center" wrapText="0"/>
    </xf>
    <xf borderId="10" fillId="5" fontId="32" numFmtId="0" xfId="0" applyAlignment="1" applyBorder="1" applyFont="1">
      <alignment horizontal="center" shrinkToFit="0" vertical="center" wrapText="1"/>
    </xf>
    <xf borderId="10" fillId="16" fontId="14" numFmtId="0" xfId="0" applyAlignment="1" applyBorder="1" applyFont="1">
      <alignment horizontal="center" shrinkToFit="0" vertical="center" wrapText="0"/>
    </xf>
    <xf borderId="10" fillId="24" fontId="27" numFmtId="0" xfId="0" applyAlignment="1" applyBorder="1" applyFont="1">
      <alignment horizontal="center" shrinkToFit="0" vertical="center" wrapText="1"/>
    </xf>
    <xf borderId="37" fillId="6" fontId="13" numFmtId="0" xfId="0" applyAlignment="1" applyBorder="1" applyFont="1">
      <alignment horizontal="left" shrinkToFit="0" vertical="center" wrapText="0"/>
    </xf>
    <xf borderId="38" fillId="0" fontId="2" numFmtId="0" xfId="0" applyBorder="1" applyFont="1"/>
    <xf borderId="39" fillId="0" fontId="2" numFmtId="0" xfId="0" applyBorder="1" applyFont="1"/>
    <xf borderId="10" fillId="41" fontId="57" numFmtId="0" xfId="0" applyAlignment="1" applyBorder="1" applyFill="1" applyFont="1">
      <alignment horizontal="left" shrinkToFit="0" vertical="center" wrapText="0"/>
    </xf>
    <xf borderId="10" fillId="41" fontId="18" numFmtId="0" xfId="0" applyAlignment="1" applyBorder="1" applyFont="1">
      <alignment horizontal="center" shrinkToFit="0" vertical="center" wrapText="0"/>
    </xf>
    <xf borderId="10" fillId="41" fontId="3" numFmtId="0" xfId="0" applyAlignment="1" applyBorder="1" applyFont="1">
      <alignment shrinkToFit="0" vertical="bottom" wrapText="0"/>
    </xf>
    <xf borderId="10" fillId="42" fontId="58" numFmtId="0" xfId="0" applyAlignment="1" applyBorder="1" applyFill="1" applyFont="1">
      <alignment horizontal="left" shrinkToFit="0" vertical="center" wrapText="0"/>
    </xf>
    <xf borderId="10" fillId="42" fontId="18" numFmtId="0" xfId="0" applyAlignment="1" applyBorder="1" applyFont="1">
      <alignment horizontal="center" shrinkToFit="0" vertical="center" wrapText="0"/>
    </xf>
    <xf borderId="10" fillId="42" fontId="3" numFmtId="0" xfId="0" applyAlignment="1" applyBorder="1" applyFont="1">
      <alignment shrinkToFit="0" vertical="bottom" wrapText="0"/>
    </xf>
    <xf borderId="10" fillId="39" fontId="59" numFmtId="0" xfId="0" applyAlignment="1" applyBorder="1" applyFont="1">
      <alignment horizontal="left" shrinkToFit="0" vertical="center" wrapText="0"/>
    </xf>
    <xf borderId="10" fillId="39" fontId="18" numFmtId="0" xfId="0" applyAlignment="1" applyBorder="1" applyFont="1">
      <alignment horizontal="center" shrinkToFit="0" vertical="center" wrapText="0"/>
    </xf>
    <xf borderId="10" fillId="39" fontId="3" numFmtId="0" xfId="0" applyAlignment="1" applyBorder="1" applyFont="1">
      <alignment shrinkToFit="0" vertical="bottom" wrapText="0"/>
    </xf>
    <xf borderId="10" fillId="43" fontId="60" numFmtId="0" xfId="0" applyAlignment="1" applyBorder="1" applyFill="1" applyFont="1">
      <alignment horizontal="left" shrinkToFit="0" vertical="center" wrapText="0"/>
    </xf>
    <xf borderId="10" fillId="43" fontId="18" numFmtId="0" xfId="0" applyAlignment="1" applyBorder="1" applyFont="1">
      <alignment horizontal="center" shrinkToFit="0" vertical="center" wrapText="0"/>
    </xf>
    <xf borderId="10" fillId="43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6B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7" width="18.0"/>
    <col customWidth="1" min="8" max="8" width="3.0"/>
    <col customWidth="1" min="9" max="9" width="26.43"/>
    <col customWidth="1" min="10" max="10" width="15.14"/>
    <col customWidth="1" min="11" max="11" width="7.14"/>
  </cols>
  <sheetData>
    <row r="1" ht="45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1.75" customHeight="1">
      <c r="A2" s="5" t="s">
        <v>1</v>
      </c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8.0" customHeight="1">
      <c r="A3" s="8" t="s">
        <v>2</v>
      </c>
      <c r="B3" s="9"/>
      <c r="C3" s="9"/>
      <c r="D3" s="9"/>
      <c r="E3" s="9"/>
      <c r="F3" s="9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4.5" customHeight="1">
      <c r="A4" s="11"/>
      <c r="B4" s="9"/>
      <c r="C4" s="9"/>
      <c r="D4" s="9"/>
      <c r="E4" s="9"/>
      <c r="F4" s="9"/>
      <c r="G4" s="1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8.0" customHeight="1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3" t="s">
        <v>8</v>
      </c>
      <c r="G5" s="3"/>
      <c r="H5" s="4"/>
      <c r="I5" s="14"/>
      <c r="J5" s="9"/>
      <c r="K5" s="1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7.75" customHeight="1">
      <c r="A6" s="15" t="s">
        <v>9</v>
      </c>
      <c r="B6" s="15">
        <v>1.0</v>
      </c>
      <c r="C6" s="15">
        <v>10.0</v>
      </c>
      <c r="D6" s="15" t="s">
        <v>10</v>
      </c>
      <c r="E6" s="15" t="s">
        <v>11</v>
      </c>
      <c r="F6" s="15" t="s">
        <v>12</v>
      </c>
      <c r="G6" s="15" t="s">
        <v>13</v>
      </c>
      <c r="H6" s="4"/>
      <c r="I6" s="16"/>
      <c r="J6" s="9"/>
      <c r="K6" s="1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1.75" customHeight="1">
      <c r="A7" s="17" t="s">
        <v>14</v>
      </c>
      <c r="B7" s="17" t="s">
        <v>15</v>
      </c>
      <c r="C7" s="17" t="s">
        <v>16</v>
      </c>
      <c r="D7" s="17" t="s">
        <v>17</v>
      </c>
      <c r="E7" s="17" t="s">
        <v>18</v>
      </c>
      <c r="F7" s="18" t="s">
        <v>19</v>
      </c>
      <c r="G7" s="3"/>
      <c r="H7" s="4"/>
      <c r="I7" s="19"/>
      <c r="J7" s="9"/>
      <c r="K7" s="1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1.75" customHeight="1">
      <c r="A8" s="4"/>
      <c r="B8" s="4"/>
      <c r="C8" s="4"/>
      <c r="D8" s="4"/>
      <c r="E8" s="20" t="s">
        <v>20</v>
      </c>
      <c r="F8" s="21"/>
      <c r="G8" s="22"/>
      <c r="H8" s="4"/>
      <c r="I8" s="23"/>
      <c r="J8" s="9"/>
      <c r="K8" s="1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1.75" customHeight="1">
      <c r="A9" s="24" t="s">
        <v>21</v>
      </c>
      <c r="B9" s="25"/>
      <c r="C9" s="25"/>
      <c r="D9" s="26"/>
      <c r="E9" s="27" t="s">
        <v>22</v>
      </c>
      <c r="F9" s="27" t="s">
        <v>23</v>
      </c>
      <c r="G9" s="27" t="s">
        <v>24</v>
      </c>
      <c r="H9" s="4"/>
      <c r="I9" s="28"/>
      <c r="J9" s="28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51.75" customHeight="1">
      <c r="A10" s="29" t="s">
        <v>25</v>
      </c>
      <c r="B10" s="30" t="s">
        <v>26</v>
      </c>
      <c r="C10" s="31"/>
      <c r="D10" s="32"/>
      <c r="E10" s="33" t="s">
        <v>27</v>
      </c>
      <c r="F10" s="34" t="s">
        <v>28</v>
      </c>
      <c r="G10" s="35" t="s">
        <v>29</v>
      </c>
      <c r="H10" s="4"/>
      <c r="I10" s="36"/>
      <c r="J10" s="37"/>
      <c r="K10" s="3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5.5" customHeight="1">
      <c r="A11" s="39" t="s">
        <v>30</v>
      </c>
      <c r="B11" s="40" t="s">
        <v>31</v>
      </c>
      <c r="C11" s="31"/>
      <c r="D11" s="32"/>
      <c r="E11" s="41" t="s">
        <v>32</v>
      </c>
      <c r="F11" s="42" t="s">
        <v>33</v>
      </c>
      <c r="G11" s="43" t="s">
        <v>29</v>
      </c>
      <c r="H11" s="4"/>
      <c r="I11" s="36"/>
      <c r="J11" s="37"/>
      <c r="K11" s="3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5.5" customHeight="1">
      <c r="A12" s="29" t="s">
        <v>34</v>
      </c>
      <c r="B12" s="30" t="s">
        <v>35</v>
      </c>
      <c r="C12" s="31"/>
      <c r="D12" s="32"/>
      <c r="E12" s="33" t="s">
        <v>36</v>
      </c>
      <c r="F12" s="34" t="s">
        <v>37</v>
      </c>
      <c r="G12" s="35" t="s">
        <v>29</v>
      </c>
      <c r="H12" s="4"/>
      <c r="I12" s="36"/>
      <c r="J12" s="37"/>
      <c r="K12" s="3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5.5" customHeight="1">
      <c r="A13" s="39" t="s">
        <v>38</v>
      </c>
      <c r="B13" s="40" t="s">
        <v>39</v>
      </c>
      <c r="C13" s="31"/>
      <c r="D13" s="32"/>
      <c r="E13" s="41" t="s">
        <v>40</v>
      </c>
      <c r="F13" s="42" t="s">
        <v>41</v>
      </c>
      <c r="G13" s="43" t="s">
        <v>29</v>
      </c>
      <c r="H13" s="4"/>
      <c r="I13" s="36"/>
      <c r="J13" s="37"/>
      <c r="K13" s="3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5.5" customHeight="1">
      <c r="A14" s="29" t="s">
        <v>42</v>
      </c>
      <c r="B14" s="30" t="s">
        <v>43</v>
      </c>
      <c r="C14" s="31"/>
      <c r="D14" s="32"/>
      <c r="E14" s="33" t="s">
        <v>44</v>
      </c>
      <c r="F14" s="34" t="s">
        <v>45</v>
      </c>
      <c r="G14" s="35" t="s">
        <v>29</v>
      </c>
      <c r="H14" s="4"/>
      <c r="I14" s="36"/>
      <c r="J14" s="37"/>
      <c r="K14" s="3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4.25" customHeight="1">
      <c r="A15" s="39" t="s">
        <v>46</v>
      </c>
      <c r="B15" s="40" t="s">
        <v>47</v>
      </c>
      <c r="C15" s="31"/>
      <c r="D15" s="3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1.75" customHeight="1">
      <c r="A16" s="4"/>
      <c r="B16" s="4"/>
      <c r="C16" s="4"/>
      <c r="D16" s="4"/>
      <c r="E16" s="27" t="s">
        <v>48</v>
      </c>
      <c r="F16" s="27" t="s">
        <v>49</v>
      </c>
      <c r="G16" s="27" t="s">
        <v>10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1.75" customHeight="1">
      <c r="A18" s="24" t="s">
        <v>50</v>
      </c>
      <c r="B18" s="25"/>
      <c r="C18" s="25"/>
      <c r="D18" s="25"/>
      <c r="E18" s="25"/>
      <c r="F18" s="25"/>
      <c r="G18" s="2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42.0" customHeight="1">
      <c r="A19" s="44" t="s">
        <v>51</v>
      </c>
      <c r="B19" s="44" t="s">
        <v>52</v>
      </c>
      <c r="C19" s="44" t="s">
        <v>53</v>
      </c>
      <c r="D19" s="44" t="s">
        <v>54</v>
      </c>
      <c r="E19" s="44" t="s">
        <v>55</v>
      </c>
      <c r="F19" s="44" t="s">
        <v>56</v>
      </c>
      <c r="G19" s="44" t="s">
        <v>57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5.5" customHeight="1">
      <c r="A20" s="45" t="s">
        <v>58</v>
      </c>
      <c r="B20" s="46" t="s">
        <v>59</v>
      </c>
      <c r="C20" s="47" t="s">
        <v>60</v>
      </c>
      <c r="D20" s="48">
        <v>1.0</v>
      </c>
      <c r="E20" s="49"/>
      <c r="F20" s="50"/>
      <c r="G20" s="4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39.0" customHeight="1">
      <c r="A21" s="51" t="s">
        <v>61</v>
      </c>
      <c r="B21" s="52" t="s">
        <v>62</v>
      </c>
      <c r="C21" s="42" t="s">
        <v>63</v>
      </c>
      <c r="D21" s="53">
        <v>1.0</v>
      </c>
      <c r="E21" s="54"/>
      <c r="F21" s="55"/>
      <c r="G21" s="5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39.0" customHeight="1">
      <c r="A22" s="56" t="s">
        <v>64</v>
      </c>
      <c r="B22" s="46" t="s">
        <v>65</v>
      </c>
      <c r="C22" s="47" t="s">
        <v>66</v>
      </c>
      <c r="D22" s="48">
        <v>1.0</v>
      </c>
      <c r="E22" s="49"/>
      <c r="F22" s="50"/>
      <c r="G22" s="4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5.5" customHeight="1">
      <c r="A23" s="57" t="s">
        <v>67</v>
      </c>
      <c r="B23" s="58" t="s">
        <v>68</v>
      </c>
      <c r="C23" s="42" t="s">
        <v>69</v>
      </c>
      <c r="D23" s="53">
        <v>1.0</v>
      </c>
      <c r="E23" s="54"/>
      <c r="F23" s="55"/>
      <c r="G23" s="5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5.5" customHeight="1">
      <c r="A24" s="59" t="s">
        <v>70</v>
      </c>
      <c r="B24" s="46" t="s">
        <v>71</v>
      </c>
      <c r="C24" s="47" t="s">
        <v>72</v>
      </c>
      <c r="D24" s="48">
        <v>1.0</v>
      </c>
      <c r="E24" s="49"/>
      <c r="F24" s="50"/>
      <c r="G24" s="4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5.5" customHeight="1">
      <c r="A25" s="60" t="s">
        <v>73</v>
      </c>
      <c r="B25" s="58" t="s">
        <v>74</v>
      </c>
      <c r="C25" s="42" t="s">
        <v>75</v>
      </c>
      <c r="D25" s="53">
        <v>1.0</v>
      </c>
      <c r="E25" s="54"/>
      <c r="F25" s="55"/>
      <c r="G25" s="5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39.0" customHeight="1">
      <c r="A26" s="61" t="s">
        <v>76</v>
      </c>
      <c r="B26" s="46" t="s">
        <v>77</v>
      </c>
      <c r="C26" s="47" t="s">
        <v>78</v>
      </c>
      <c r="D26" s="48">
        <v>1.0</v>
      </c>
      <c r="E26" s="49"/>
      <c r="F26" s="50"/>
      <c r="G26" s="4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9.0" customHeight="1">
      <c r="A27" s="62" t="s">
        <v>79</v>
      </c>
      <c r="B27" s="63" t="s">
        <v>80</v>
      </c>
      <c r="C27" s="42" t="s">
        <v>81</v>
      </c>
      <c r="D27" s="53">
        <v>1.0</v>
      </c>
      <c r="E27" s="54"/>
      <c r="F27" s="55"/>
      <c r="G27" s="5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4.25" customHeight="1">
      <c r="A28" s="45" t="s">
        <v>82</v>
      </c>
      <c r="B28" s="46" t="s">
        <v>59</v>
      </c>
      <c r="C28" s="47" t="s">
        <v>60</v>
      </c>
      <c r="D28" s="48">
        <v>1.0</v>
      </c>
      <c r="E28" s="49"/>
      <c r="F28" s="50"/>
      <c r="G28" s="4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4.25" customHeight="1">
      <c r="A29" s="57" t="s">
        <v>83</v>
      </c>
      <c r="B29" s="58" t="s">
        <v>68</v>
      </c>
      <c r="C29" s="42" t="s">
        <v>69</v>
      </c>
      <c r="D29" s="53">
        <v>1.0</v>
      </c>
      <c r="E29" s="54"/>
      <c r="F29" s="55"/>
      <c r="G29" s="5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19">
    <mergeCell ref="I6:K6"/>
    <mergeCell ref="I7:K7"/>
    <mergeCell ref="A1:G1"/>
    <mergeCell ref="A2:G2"/>
    <mergeCell ref="A3:G3"/>
    <mergeCell ref="A4:G4"/>
    <mergeCell ref="F5:G5"/>
    <mergeCell ref="I5:K5"/>
    <mergeCell ref="F7:G7"/>
    <mergeCell ref="B14:D14"/>
    <mergeCell ref="B15:D15"/>
    <mergeCell ref="A18:G18"/>
    <mergeCell ref="E8:G8"/>
    <mergeCell ref="I8:K8"/>
    <mergeCell ref="A9:D9"/>
    <mergeCell ref="B10:D10"/>
    <mergeCell ref="B11:D11"/>
    <mergeCell ref="B12:D12"/>
    <mergeCell ref="B13:D13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84C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3" width="15.71"/>
    <col customWidth="1" min="4" max="4" width="10.0"/>
    <col customWidth="1" min="5" max="5" width="32.71"/>
    <col customWidth="1" min="6" max="6" width="46.0"/>
    <col customWidth="1" min="7" max="8" width="36.0"/>
    <col customWidth="1" min="9" max="11" width="8.57"/>
  </cols>
  <sheetData>
    <row r="1" ht="38.25" customHeight="1">
      <c r="A1" s="4"/>
      <c r="B1" s="64" t="s">
        <v>84</v>
      </c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4"/>
      <c r="B2" s="65" t="s">
        <v>85</v>
      </c>
      <c r="C2" s="66"/>
      <c r="D2" s="66"/>
      <c r="E2" s="66"/>
      <c r="F2" s="66"/>
      <c r="G2" s="66"/>
      <c r="H2" s="6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4"/>
      <c r="B3" s="68"/>
      <c r="C3" s="6"/>
      <c r="D3" s="6"/>
      <c r="E3" s="6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44" t="s">
        <v>51</v>
      </c>
      <c r="C4" s="44" t="s">
        <v>52</v>
      </c>
      <c r="D4" s="44" t="s">
        <v>86</v>
      </c>
      <c r="E4" s="44" t="s">
        <v>87</v>
      </c>
      <c r="F4" s="44" t="s">
        <v>88</v>
      </c>
      <c r="G4" s="44" t="s">
        <v>89</v>
      </c>
      <c r="H4" s="44" t="s">
        <v>90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"/>
      <c r="B5" s="69" t="s">
        <v>91</v>
      </c>
      <c r="C5" s="25"/>
      <c r="D5" s="25"/>
      <c r="E5" s="25"/>
      <c r="F5" s="25"/>
      <c r="G5" s="25"/>
      <c r="H5" s="2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7.75" customHeight="1">
      <c r="A6" s="4"/>
      <c r="B6" s="45" t="s">
        <v>92</v>
      </c>
      <c r="C6" s="70" t="s">
        <v>59</v>
      </c>
      <c r="D6" s="71" t="s">
        <v>93</v>
      </c>
      <c r="E6" s="72" t="s">
        <v>94</v>
      </c>
      <c r="F6" s="73" t="s">
        <v>95</v>
      </c>
      <c r="G6" s="74" t="s">
        <v>96</v>
      </c>
      <c r="H6" s="75" t="s">
        <v>97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"/>
      <c r="B7" s="76" t="s">
        <v>98</v>
      </c>
      <c r="C7" s="25"/>
      <c r="D7" s="25"/>
      <c r="E7" s="25"/>
      <c r="F7" s="25"/>
      <c r="G7" s="25"/>
      <c r="H7" s="26"/>
      <c r="I7" s="4"/>
      <c r="J7" s="4"/>
      <c r="K7" s="7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7.75" customHeight="1">
      <c r="A8" s="4"/>
      <c r="B8" s="51" t="s">
        <v>99</v>
      </c>
      <c r="C8" s="78" t="s">
        <v>62</v>
      </c>
      <c r="D8" s="71" t="s">
        <v>93</v>
      </c>
      <c r="E8" s="72" t="s">
        <v>100</v>
      </c>
      <c r="F8" s="73" t="s">
        <v>101</v>
      </c>
      <c r="G8" s="74" t="s">
        <v>102</v>
      </c>
      <c r="H8" s="75" t="s">
        <v>103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"/>
      <c r="B9" s="79" t="s">
        <v>104</v>
      </c>
      <c r="C9" s="25"/>
      <c r="D9" s="25"/>
      <c r="E9" s="25"/>
      <c r="F9" s="25"/>
      <c r="G9" s="25"/>
      <c r="H9" s="2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7.75" customHeight="1">
      <c r="A10" s="4"/>
      <c r="B10" s="56" t="s">
        <v>105</v>
      </c>
      <c r="C10" s="80" t="s">
        <v>65</v>
      </c>
      <c r="D10" s="71" t="s">
        <v>93</v>
      </c>
      <c r="E10" s="72" t="s">
        <v>106</v>
      </c>
      <c r="F10" s="73" t="s">
        <v>107</v>
      </c>
      <c r="G10" s="74" t="s">
        <v>108</v>
      </c>
      <c r="H10" s="75" t="s">
        <v>109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"/>
      <c r="B11" s="81" t="s">
        <v>110</v>
      </c>
      <c r="C11" s="25"/>
      <c r="D11" s="25"/>
      <c r="E11" s="25"/>
      <c r="F11" s="25"/>
      <c r="G11" s="25"/>
      <c r="H11" s="2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7.75" customHeight="1">
      <c r="A12" s="4"/>
      <c r="B12" s="57" t="s">
        <v>111</v>
      </c>
      <c r="C12" s="82" t="s">
        <v>68</v>
      </c>
      <c r="D12" s="71" t="s">
        <v>93</v>
      </c>
      <c r="E12" s="72" t="s">
        <v>112</v>
      </c>
      <c r="F12" s="73" t="s">
        <v>113</v>
      </c>
      <c r="G12" s="74" t="s">
        <v>114</v>
      </c>
      <c r="H12" s="75" t="s">
        <v>115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"/>
      <c r="B13" s="83" t="s">
        <v>116</v>
      </c>
      <c r="C13" s="25"/>
      <c r="D13" s="25"/>
      <c r="E13" s="25"/>
      <c r="F13" s="25"/>
      <c r="G13" s="25"/>
      <c r="H13" s="2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7.75" customHeight="1">
      <c r="A14" s="4"/>
      <c r="B14" s="59" t="s">
        <v>117</v>
      </c>
      <c r="C14" s="84" t="s">
        <v>118</v>
      </c>
      <c r="D14" s="71" t="s">
        <v>93</v>
      </c>
      <c r="E14" s="72" t="s">
        <v>119</v>
      </c>
      <c r="F14" s="73" t="s">
        <v>120</v>
      </c>
      <c r="G14" s="74" t="s">
        <v>121</v>
      </c>
      <c r="H14" s="75" t="s">
        <v>122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"/>
      <c r="B15" s="85" t="s">
        <v>123</v>
      </c>
      <c r="C15" s="25"/>
      <c r="D15" s="25"/>
      <c r="E15" s="25"/>
      <c r="F15" s="25"/>
      <c r="G15" s="25"/>
      <c r="H15" s="2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7.75" customHeight="1">
      <c r="A16" s="4"/>
      <c r="B16" s="60" t="s">
        <v>124</v>
      </c>
      <c r="C16" s="86" t="s">
        <v>125</v>
      </c>
      <c r="D16" s="87" t="s">
        <v>93</v>
      </c>
      <c r="E16" s="72" t="s">
        <v>126</v>
      </c>
      <c r="F16" s="73" t="s">
        <v>127</v>
      </c>
      <c r="G16" s="74" t="s">
        <v>128</v>
      </c>
      <c r="H16" s="75" t="s">
        <v>129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"/>
      <c r="B17" s="88" t="s">
        <v>130</v>
      </c>
      <c r="C17" s="25"/>
      <c r="D17" s="25"/>
      <c r="E17" s="25"/>
      <c r="F17" s="25"/>
      <c r="G17" s="25"/>
      <c r="H17" s="2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7.75" customHeight="1">
      <c r="A18" s="4"/>
      <c r="B18" s="61" t="s">
        <v>131</v>
      </c>
      <c r="C18" s="89" t="s">
        <v>125</v>
      </c>
      <c r="D18" s="71" t="s">
        <v>93</v>
      </c>
      <c r="E18" s="72" t="s">
        <v>132</v>
      </c>
      <c r="F18" s="73" t="s">
        <v>133</v>
      </c>
      <c r="G18" s="74" t="s">
        <v>134</v>
      </c>
      <c r="H18" s="75" t="s">
        <v>135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"/>
      <c r="B19" s="90" t="s">
        <v>136</v>
      </c>
      <c r="C19" s="25"/>
      <c r="D19" s="25"/>
      <c r="E19" s="25"/>
      <c r="F19" s="25"/>
      <c r="G19" s="25"/>
      <c r="H19" s="2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7.75" customHeight="1">
      <c r="A20" s="4"/>
      <c r="B20" s="62" t="s">
        <v>137</v>
      </c>
      <c r="C20" s="78" t="s">
        <v>138</v>
      </c>
      <c r="D20" s="71" t="s">
        <v>93</v>
      </c>
      <c r="E20" s="72" t="s">
        <v>139</v>
      </c>
      <c r="F20" s="73" t="s">
        <v>140</v>
      </c>
      <c r="G20" s="74" t="s">
        <v>141</v>
      </c>
      <c r="H20" s="75" t="s">
        <v>142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69" t="s">
        <v>143</v>
      </c>
      <c r="C21" s="25"/>
      <c r="D21" s="25"/>
      <c r="E21" s="25"/>
      <c r="F21" s="25"/>
      <c r="G21" s="25"/>
      <c r="H21" s="2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5.0" customHeight="1">
      <c r="A22" s="4"/>
      <c r="B22" s="45" t="s">
        <v>144</v>
      </c>
      <c r="C22" s="70" t="s">
        <v>145</v>
      </c>
      <c r="D22" s="71" t="s">
        <v>93</v>
      </c>
      <c r="E22" s="72" t="s">
        <v>146</v>
      </c>
      <c r="F22" s="73" t="s">
        <v>147</v>
      </c>
      <c r="G22" s="74" t="s">
        <v>148</v>
      </c>
      <c r="H22" s="75" t="s">
        <v>149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3.25" customHeight="1">
      <c r="A23" s="4"/>
      <c r="B23" s="79" t="s">
        <v>150</v>
      </c>
      <c r="C23" s="25"/>
      <c r="D23" s="25"/>
      <c r="E23" s="25"/>
      <c r="F23" s="25"/>
      <c r="G23" s="25"/>
      <c r="H23" s="2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7.25" customHeight="1">
      <c r="A24" s="4"/>
      <c r="B24" s="56" t="s">
        <v>151</v>
      </c>
      <c r="C24" s="80" t="s">
        <v>152</v>
      </c>
      <c r="D24" s="71" t="s">
        <v>93</v>
      </c>
      <c r="E24" s="72" t="s">
        <v>153</v>
      </c>
      <c r="F24" s="73" t="s">
        <v>154</v>
      </c>
      <c r="G24" s="74" t="s">
        <v>155</v>
      </c>
      <c r="H24" s="75" t="s">
        <v>156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B15:H15"/>
    <mergeCell ref="B17:H17"/>
    <mergeCell ref="B19:H19"/>
    <mergeCell ref="B21:H21"/>
    <mergeCell ref="B23:H23"/>
    <mergeCell ref="B1:H1"/>
    <mergeCell ref="B2:H3"/>
    <mergeCell ref="B5:H5"/>
    <mergeCell ref="B7:H7"/>
    <mergeCell ref="B9:H9"/>
    <mergeCell ref="B11:H11"/>
    <mergeCell ref="B13:H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min="1" max="1" width="14.43"/>
    <col customWidth="1" min="2" max="2" width="17.71"/>
    <col customWidth="1" min="3" max="3" width="37.43"/>
    <col customWidth="1" min="4" max="4" width="33.0"/>
    <col customWidth="1" min="5" max="5" width="15.86"/>
    <col customWidth="1" min="6" max="6" width="14.43"/>
  </cols>
  <sheetData>
    <row r="1" ht="15.0" customHeight="1">
      <c r="A1" s="91" t="s">
        <v>157</v>
      </c>
      <c r="B1" s="91" t="s">
        <v>158</v>
      </c>
      <c r="C1" s="91" t="s">
        <v>159</v>
      </c>
      <c r="D1" s="91" t="s">
        <v>160</v>
      </c>
      <c r="E1" s="91" t="s">
        <v>161</v>
      </c>
      <c r="F1" s="91" t="s">
        <v>162</v>
      </c>
      <c r="G1" s="92" t="s">
        <v>58</v>
      </c>
      <c r="H1" s="92" t="s">
        <v>61</v>
      </c>
      <c r="I1" s="92" t="s">
        <v>64</v>
      </c>
      <c r="J1" s="92" t="s">
        <v>67</v>
      </c>
      <c r="K1" s="92" t="s">
        <v>70</v>
      </c>
      <c r="L1" s="92" t="s">
        <v>73</v>
      </c>
      <c r="M1" s="92" t="s">
        <v>76</v>
      </c>
      <c r="N1" s="92" t="s">
        <v>79</v>
      </c>
      <c r="O1" s="92" t="s">
        <v>82</v>
      </c>
      <c r="P1" s="92" t="s">
        <v>83</v>
      </c>
      <c r="Q1" s="92"/>
    </row>
    <row r="2" ht="15.0" customHeight="1">
      <c r="A2" s="93"/>
      <c r="B2" s="93"/>
      <c r="C2" s="93"/>
      <c r="D2" s="93"/>
      <c r="E2" s="93"/>
      <c r="F2" s="93"/>
      <c r="G2" s="94" t="s">
        <v>163</v>
      </c>
      <c r="H2" s="94" t="s">
        <v>163</v>
      </c>
      <c r="I2" s="94" t="s">
        <v>163</v>
      </c>
      <c r="J2" s="94" t="s">
        <v>163</v>
      </c>
      <c r="K2" s="94" t="s">
        <v>163</v>
      </c>
      <c r="L2" s="94" t="s">
        <v>163</v>
      </c>
      <c r="M2" s="94" t="s">
        <v>163</v>
      </c>
      <c r="N2" s="94" t="s">
        <v>163</v>
      </c>
      <c r="O2" s="94" t="s">
        <v>163</v>
      </c>
      <c r="P2" s="94" t="s">
        <v>163</v>
      </c>
      <c r="Q2" s="94"/>
    </row>
    <row r="3" ht="15.0" customHeight="1">
      <c r="A3" s="95">
        <v>1.0</v>
      </c>
      <c r="B3" s="96" t="s">
        <v>164</v>
      </c>
      <c r="C3" s="97" t="s">
        <v>165</v>
      </c>
      <c r="D3" s="97" t="s">
        <v>166</v>
      </c>
      <c r="E3" s="98"/>
      <c r="F3" s="99" t="s">
        <v>167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>
        <f t="shared" ref="Q3:Q12" si="1">COUNTA(G3:P3)</f>
        <v>0</v>
      </c>
    </row>
    <row r="4" ht="15.0" customHeight="1">
      <c r="A4" s="95">
        <v>2.0</v>
      </c>
      <c r="B4" s="96" t="s">
        <v>168</v>
      </c>
      <c r="C4" s="97" t="s">
        <v>169</v>
      </c>
      <c r="D4" s="97" t="s">
        <v>170</v>
      </c>
      <c r="E4" s="95"/>
      <c r="F4" s="101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>
        <f t="shared" si="1"/>
        <v>0</v>
      </c>
    </row>
    <row r="5" ht="15.0" customHeight="1">
      <c r="A5" s="95">
        <v>3.0</v>
      </c>
      <c r="B5" s="96" t="s">
        <v>171</v>
      </c>
      <c r="C5" s="97" t="s">
        <v>172</v>
      </c>
      <c r="D5" s="97" t="s">
        <v>173</v>
      </c>
      <c r="E5" s="98" t="s">
        <v>174</v>
      </c>
      <c r="F5" s="101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>
        <f t="shared" si="1"/>
        <v>0</v>
      </c>
    </row>
    <row r="6" ht="15.0" customHeight="1">
      <c r="A6" s="95">
        <v>4.0</v>
      </c>
      <c r="B6" s="96" t="s">
        <v>175</v>
      </c>
      <c r="C6" s="97" t="s">
        <v>176</v>
      </c>
      <c r="D6" s="97" t="s">
        <v>177</v>
      </c>
      <c r="E6" s="95"/>
      <c r="F6" s="101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>
        <f t="shared" si="1"/>
        <v>0</v>
      </c>
    </row>
    <row r="7" ht="15.0" customHeight="1">
      <c r="A7" s="95">
        <v>5.0</v>
      </c>
      <c r="B7" s="96" t="s">
        <v>178</v>
      </c>
      <c r="C7" s="97" t="s">
        <v>179</v>
      </c>
      <c r="D7" s="97" t="s">
        <v>180</v>
      </c>
      <c r="E7" s="95"/>
      <c r="F7" s="101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>
        <f t="shared" si="1"/>
        <v>0</v>
      </c>
    </row>
    <row r="8" ht="15.0" customHeight="1">
      <c r="A8" s="95">
        <v>6.0</v>
      </c>
      <c r="B8" s="96" t="s">
        <v>181</v>
      </c>
      <c r="C8" s="97" t="s">
        <v>182</v>
      </c>
      <c r="D8" s="97" t="s">
        <v>183</v>
      </c>
      <c r="E8" s="95"/>
      <c r="F8" s="101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>
        <f t="shared" si="1"/>
        <v>0</v>
      </c>
    </row>
    <row r="9" ht="15.0" customHeight="1">
      <c r="A9" s="95">
        <v>7.0</v>
      </c>
      <c r="B9" s="96" t="s">
        <v>184</v>
      </c>
      <c r="C9" s="97" t="s">
        <v>185</v>
      </c>
      <c r="D9" s="97" t="s">
        <v>186</v>
      </c>
      <c r="E9" s="95"/>
      <c r="F9" s="101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>
        <f t="shared" si="1"/>
        <v>0</v>
      </c>
    </row>
    <row r="10" ht="15.0" customHeight="1">
      <c r="A10" s="95">
        <v>8.0</v>
      </c>
      <c r="B10" s="96" t="s">
        <v>187</v>
      </c>
      <c r="C10" s="97" t="s">
        <v>188</v>
      </c>
      <c r="D10" s="97" t="s">
        <v>189</v>
      </c>
      <c r="E10" s="95"/>
      <c r="F10" s="101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>
        <f t="shared" si="1"/>
        <v>0</v>
      </c>
    </row>
    <row r="11" ht="15.0" customHeight="1">
      <c r="A11" s="95">
        <v>9.0</v>
      </c>
      <c r="B11" s="96" t="s">
        <v>190</v>
      </c>
      <c r="C11" s="97" t="s">
        <v>191</v>
      </c>
      <c r="D11" s="97" t="s">
        <v>192</v>
      </c>
      <c r="E11" s="95"/>
      <c r="F11" s="101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>
        <f t="shared" si="1"/>
        <v>0</v>
      </c>
    </row>
    <row r="12" ht="15.0" customHeight="1">
      <c r="A12" s="95">
        <v>10.0</v>
      </c>
      <c r="B12" s="96" t="s">
        <v>193</v>
      </c>
      <c r="C12" s="97" t="s">
        <v>194</v>
      </c>
      <c r="D12" s="97" t="s">
        <v>195</v>
      </c>
      <c r="E12" s="95"/>
      <c r="F12" s="93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>
        <f t="shared" si="1"/>
        <v>0</v>
      </c>
    </row>
    <row r="13" ht="15.0" customHeight="1">
      <c r="A13" s="102"/>
      <c r="B13" s="102"/>
      <c r="C13" s="102"/>
      <c r="D13" s="102"/>
      <c r="E13" s="102"/>
      <c r="F13" s="102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</row>
    <row r="14" ht="15.0" customHeight="1">
      <c r="A14" s="95">
        <v>1.0</v>
      </c>
      <c r="B14" s="96" t="s">
        <v>196</v>
      </c>
      <c r="C14" s="97" t="s">
        <v>197</v>
      </c>
      <c r="D14" s="97" t="s">
        <v>198</v>
      </c>
      <c r="E14" s="95"/>
      <c r="F14" s="99" t="s">
        <v>199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>
        <f t="shared" ref="Q14:Q34" si="2">COUNTA(G14:P14)</f>
        <v>0</v>
      </c>
    </row>
    <row r="15" ht="15.0" customHeight="1">
      <c r="A15" s="95">
        <v>2.0</v>
      </c>
      <c r="B15" s="96" t="s">
        <v>200</v>
      </c>
      <c r="C15" s="97" t="s">
        <v>201</v>
      </c>
      <c r="D15" s="97" t="s">
        <v>202</v>
      </c>
      <c r="E15" s="95"/>
      <c r="F15" s="101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>
        <f t="shared" si="2"/>
        <v>0</v>
      </c>
    </row>
    <row r="16" ht="15.0" customHeight="1">
      <c r="A16" s="95">
        <v>3.0</v>
      </c>
      <c r="B16" s="96" t="s">
        <v>203</v>
      </c>
      <c r="C16" s="97" t="s">
        <v>204</v>
      </c>
      <c r="D16" s="97" t="s">
        <v>205</v>
      </c>
      <c r="E16" s="98" t="s">
        <v>206</v>
      </c>
      <c r="F16" s="101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>
        <f t="shared" si="2"/>
        <v>0</v>
      </c>
    </row>
    <row r="17" ht="15.0" customHeight="1">
      <c r="A17" s="95">
        <v>4.0</v>
      </c>
      <c r="B17" s="96" t="s">
        <v>207</v>
      </c>
      <c r="C17" s="97" t="s">
        <v>208</v>
      </c>
      <c r="D17" s="97" t="s">
        <v>209</v>
      </c>
      <c r="E17" s="95"/>
      <c r="F17" s="101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>
        <f t="shared" si="2"/>
        <v>0</v>
      </c>
    </row>
    <row r="18" ht="15.0" customHeight="1">
      <c r="A18" s="95">
        <v>5.0</v>
      </c>
      <c r="B18" s="96" t="s">
        <v>210</v>
      </c>
      <c r="C18" s="97" t="s">
        <v>211</v>
      </c>
      <c r="D18" s="97" t="s">
        <v>212</v>
      </c>
      <c r="E18" s="95"/>
      <c r="F18" s="101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>
        <f t="shared" si="2"/>
        <v>0</v>
      </c>
    </row>
    <row r="19" ht="15.0" customHeight="1">
      <c r="A19" s="95">
        <v>6.0</v>
      </c>
      <c r="B19" s="96" t="s">
        <v>213</v>
      </c>
      <c r="C19" s="97" t="s">
        <v>214</v>
      </c>
      <c r="D19" s="97" t="s">
        <v>215</v>
      </c>
      <c r="E19" s="95"/>
      <c r="F19" s="101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>
        <f t="shared" si="2"/>
        <v>0</v>
      </c>
    </row>
    <row r="20" ht="15.0" customHeight="1">
      <c r="A20" s="95">
        <v>7.0</v>
      </c>
      <c r="B20" s="96" t="s">
        <v>216</v>
      </c>
      <c r="C20" s="97" t="s">
        <v>217</v>
      </c>
      <c r="D20" s="97" t="s">
        <v>218</v>
      </c>
      <c r="E20" s="95"/>
      <c r="F20" s="101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>
        <f t="shared" si="2"/>
        <v>0</v>
      </c>
    </row>
    <row r="21" ht="15.0" customHeight="1">
      <c r="A21" s="95">
        <v>8.0</v>
      </c>
      <c r="B21" s="96" t="s">
        <v>219</v>
      </c>
      <c r="C21" s="97" t="s">
        <v>220</v>
      </c>
      <c r="D21" s="97" t="s">
        <v>221</v>
      </c>
      <c r="E21" s="98" t="s">
        <v>222</v>
      </c>
      <c r="F21" s="101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>
        <f t="shared" si="2"/>
        <v>0</v>
      </c>
    </row>
    <row r="22" ht="15.0" customHeight="1">
      <c r="A22" s="95">
        <v>9.0</v>
      </c>
      <c r="B22" s="96" t="s">
        <v>223</v>
      </c>
      <c r="C22" s="97" t="s">
        <v>224</v>
      </c>
      <c r="D22" s="97" t="s">
        <v>225</v>
      </c>
      <c r="E22" s="95"/>
      <c r="F22" s="101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>
        <f t="shared" si="2"/>
        <v>0</v>
      </c>
    </row>
    <row r="23" ht="15.0" customHeight="1">
      <c r="A23" s="95">
        <v>10.0</v>
      </c>
      <c r="B23" s="96" t="s">
        <v>226</v>
      </c>
      <c r="C23" s="97" t="s">
        <v>227</v>
      </c>
      <c r="D23" s="97" t="s">
        <v>228</v>
      </c>
      <c r="E23" s="95"/>
      <c r="F23" s="93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>
        <f t="shared" si="2"/>
        <v>0</v>
      </c>
    </row>
    <row r="24" ht="15.0" customHeight="1">
      <c r="A24" s="102"/>
      <c r="B24" s="102"/>
      <c r="C24" s="102"/>
      <c r="D24" s="102"/>
      <c r="E24" s="102"/>
      <c r="F24" s="102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>
        <f t="shared" si="2"/>
        <v>0</v>
      </c>
    </row>
    <row r="25" ht="15.0" customHeight="1">
      <c r="A25" s="95">
        <v>1.0</v>
      </c>
      <c r="B25" s="96" t="s">
        <v>229</v>
      </c>
      <c r="C25" s="97" t="s">
        <v>230</v>
      </c>
      <c r="D25" s="97" t="s">
        <v>231</v>
      </c>
      <c r="E25" s="95"/>
      <c r="F25" s="99" t="s">
        <v>232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>
        <f t="shared" si="2"/>
        <v>0</v>
      </c>
    </row>
    <row r="26" ht="15.0" customHeight="1">
      <c r="A26" s="95">
        <v>2.0</v>
      </c>
      <c r="B26" s="96" t="s">
        <v>233</v>
      </c>
      <c r="C26" s="97" t="s">
        <v>234</v>
      </c>
      <c r="D26" s="97" t="s">
        <v>235</v>
      </c>
      <c r="E26" s="95"/>
      <c r="F26" s="101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>
        <f t="shared" si="2"/>
        <v>0</v>
      </c>
    </row>
    <row r="27" ht="15.0" customHeight="1">
      <c r="A27" s="95">
        <v>3.0</v>
      </c>
      <c r="B27" s="96" t="s">
        <v>236</v>
      </c>
      <c r="C27" s="97" t="s">
        <v>237</v>
      </c>
      <c r="D27" s="97" t="s">
        <v>238</v>
      </c>
      <c r="E27" s="95"/>
      <c r="F27" s="101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>
        <f t="shared" si="2"/>
        <v>0</v>
      </c>
    </row>
    <row r="28" ht="15.0" customHeight="1">
      <c r="A28" s="95">
        <v>4.0</v>
      </c>
      <c r="B28" s="96" t="s">
        <v>239</v>
      </c>
      <c r="C28" s="97" t="s">
        <v>240</v>
      </c>
      <c r="D28" s="97" t="s">
        <v>241</v>
      </c>
      <c r="E28" s="95"/>
      <c r="F28" s="101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>
        <f t="shared" si="2"/>
        <v>0</v>
      </c>
    </row>
    <row r="29" ht="15.0" customHeight="1">
      <c r="A29" s="95">
        <v>5.0</v>
      </c>
      <c r="B29" s="96" t="s">
        <v>242</v>
      </c>
      <c r="C29" s="97" t="s">
        <v>243</v>
      </c>
      <c r="D29" s="97" t="s">
        <v>244</v>
      </c>
      <c r="E29" s="98" t="s">
        <v>245</v>
      </c>
      <c r="F29" s="101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>
        <f t="shared" si="2"/>
        <v>0</v>
      </c>
    </row>
    <row r="30" ht="15.0" customHeight="1">
      <c r="A30" s="95">
        <v>6.0</v>
      </c>
      <c r="B30" s="96" t="s">
        <v>246</v>
      </c>
      <c r="C30" s="97" t="s">
        <v>247</v>
      </c>
      <c r="D30" s="97" t="s">
        <v>248</v>
      </c>
      <c r="E30" s="98" t="s">
        <v>249</v>
      </c>
      <c r="F30" s="101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>
        <f t="shared" si="2"/>
        <v>0</v>
      </c>
    </row>
    <row r="31" ht="15.0" customHeight="1">
      <c r="A31" s="95">
        <v>7.0</v>
      </c>
      <c r="B31" s="96" t="s">
        <v>250</v>
      </c>
      <c r="C31" s="97" t="s">
        <v>251</v>
      </c>
      <c r="D31" s="97" t="s">
        <v>252</v>
      </c>
      <c r="E31" s="98" t="s">
        <v>253</v>
      </c>
      <c r="F31" s="101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>
        <f t="shared" si="2"/>
        <v>0</v>
      </c>
    </row>
    <row r="32" ht="15.0" customHeight="1">
      <c r="A32" s="95">
        <v>8.0</v>
      </c>
      <c r="B32" s="96" t="s">
        <v>254</v>
      </c>
      <c r="C32" s="97" t="s">
        <v>255</v>
      </c>
      <c r="D32" s="97" t="s">
        <v>256</v>
      </c>
      <c r="E32" s="95"/>
      <c r="F32" s="101"/>
      <c r="G32" s="100"/>
      <c r="H32" s="100"/>
      <c r="I32" s="100"/>
      <c r="J32" s="100"/>
      <c r="K32" s="100"/>
      <c r="M32" s="100"/>
      <c r="N32" s="100"/>
      <c r="O32" s="100"/>
      <c r="P32" s="100"/>
      <c r="Q32" s="100">
        <f t="shared" si="2"/>
        <v>0</v>
      </c>
    </row>
    <row r="33" ht="15.0" customHeight="1">
      <c r="A33" s="95">
        <v>9.0</v>
      </c>
      <c r="B33" s="96" t="s">
        <v>257</v>
      </c>
      <c r="C33" s="97" t="s">
        <v>258</v>
      </c>
      <c r="D33" s="97" t="s">
        <v>259</v>
      </c>
      <c r="E33" s="98" t="s">
        <v>260</v>
      </c>
      <c r="F33" s="101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>
        <f t="shared" si="2"/>
        <v>0</v>
      </c>
    </row>
    <row r="34" ht="15.0" customHeight="1">
      <c r="A34" s="95">
        <v>10.0</v>
      </c>
      <c r="B34" s="96" t="s">
        <v>261</v>
      </c>
      <c r="C34" s="97" t="s">
        <v>262</v>
      </c>
      <c r="D34" s="97" t="s">
        <v>263</v>
      </c>
      <c r="E34" s="95"/>
      <c r="F34" s="93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>
        <f t="shared" si="2"/>
        <v>0</v>
      </c>
    </row>
    <row r="35" ht="15.0" customHeight="1">
      <c r="A35" s="102"/>
      <c r="B35" s="102"/>
      <c r="C35" s="102"/>
      <c r="D35" s="102"/>
      <c r="E35" s="102"/>
      <c r="F35" s="102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</row>
    <row r="36" ht="15.0" customHeight="1">
      <c r="A36" s="95">
        <v>1.0</v>
      </c>
      <c r="B36" s="96" t="s">
        <v>264</v>
      </c>
      <c r="C36" s="97" t="s">
        <v>265</v>
      </c>
      <c r="D36" s="97" t="s">
        <v>266</v>
      </c>
      <c r="E36" s="95"/>
      <c r="F36" s="99" t="s">
        <v>267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>
        <f t="shared" ref="Q36:Q45" si="3">COUNTA(G36:P36)</f>
        <v>0</v>
      </c>
    </row>
    <row r="37" ht="15.0" customHeight="1">
      <c r="A37" s="95">
        <v>2.0</v>
      </c>
      <c r="B37" s="96" t="s">
        <v>268</v>
      </c>
      <c r="C37" s="97" t="s">
        <v>269</v>
      </c>
      <c r="D37" s="97" t="s">
        <v>270</v>
      </c>
      <c r="E37" s="95"/>
      <c r="F37" s="101"/>
      <c r="G37" s="100"/>
      <c r="H37" s="100"/>
      <c r="I37" s="100"/>
      <c r="J37" s="100"/>
      <c r="K37" s="100"/>
      <c r="L37" s="100"/>
      <c r="M37" s="100"/>
      <c r="N37" s="104"/>
      <c r="O37" s="104"/>
      <c r="P37" s="104"/>
      <c r="Q37" s="100">
        <f t="shared" si="3"/>
        <v>0</v>
      </c>
    </row>
    <row r="38" ht="15.0" customHeight="1">
      <c r="A38" s="95">
        <v>3.0</v>
      </c>
      <c r="B38" s="96" t="s">
        <v>271</v>
      </c>
      <c r="C38" s="97" t="s">
        <v>272</v>
      </c>
      <c r="D38" s="97" t="s">
        <v>273</v>
      </c>
      <c r="E38" s="95"/>
      <c r="F38" s="101"/>
      <c r="G38" s="100"/>
      <c r="H38" s="100"/>
      <c r="I38" s="100"/>
      <c r="J38" s="100"/>
      <c r="K38" s="100"/>
      <c r="L38" s="100"/>
      <c r="M38" s="100"/>
      <c r="N38" s="104"/>
      <c r="O38" s="104"/>
      <c r="P38" s="104"/>
      <c r="Q38" s="100">
        <f t="shared" si="3"/>
        <v>0</v>
      </c>
    </row>
    <row r="39" ht="15.0" customHeight="1">
      <c r="A39" s="95">
        <v>4.0</v>
      </c>
      <c r="B39" s="96" t="s">
        <v>274</v>
      </c>
      <c r="C39" s="97" t="s">
        <v>275</v>
      </c>
      <c r="D39" s="97" t="s">
        <v>276</v>
      </c>
      <c r="E39" s="95"/>
      <c r="F39" s="101"/>
      <c r="G39" s="100"/>
      <c r="H39" s="100"/>
      <c r="I39" s="100"/>
      <c r="J39" s="100"/>
      <c r="K39" s="100"/>
      <c r="L39" s="100"/>
      <c r="M39" s="100"/>
      <c r="N39" s="104"/>
      <c r="O39" s="104"/>
      <c r="P39" s="104"/>
      <c r="Q39" s="100">
        <f t="shared" si="3"/>
        <v>0</v>
      </c>
    </row>
    <row r="40" ht="15.0" customHeight="1">
      <c r="A40" s="95">
        <v>5.0</v>
      </c>
      <c r="B40" s="96" t="s">
        <v>277</v>
      </c>
      <c r="C40" s="97" t="s">
        <v>278</v>
      </c>
      <c r="D40" s="97" t="s">
        <v>279</v>
      </c>
      <c r="E40" s="95"/>
      <c r="F40" s="101"/>
      <c r="G40" s="100"/>
      <c r="H40" s="100"/>
      <c r="I40" s="100"/>
      <c r="J40" s="100"/>
      <c r="K40" s="100"/>
      <c r="L40" s="100"/>
      <c r="M40" s="100"/>
      <c r="N40" s="104"/>
      <c r="O40" s="104"/>
      <c r="P40" s="104"/>
      <c r="Q40" s="100">
        <f t="shared" si="3"/>
        <v>0</v>
      </c>
    </row>
    <row r="41" ht="15.0" customHeight="1">
      <c r="A41" s="95">
        <v>6.0</v>
      </c>
      <c r="B41" s="96" t="s">
        <v>280</v>
      </c>
      <c r="C41" s="97" t="s">
        <v>281</v>
      </c>
      <c r="D41" s="97" t="s">
        <v>282</v>
      </c>
      <c r="E41" s="95"/>
      <c r="F41" s="101"/>
      <c r="G41" s="100"/>
      <c r="H41" s="100"/>
      <c r="I41" s="100"/>
      <c r="J41" s="100"/>
      <c r="K41" s="100"/>
      <c r="L41" s="100"/>
      <c r="M41" s="100"/>
      <c r="N41" s="104"/>
      <c r="O41" s="104"/>
      <c r="P41" s="104"/>
      <c r="Q41" s="100">
        <f t="shared" si="3"/>
        <v>0</v>
      </c>
    </row>
    <row r="42" ht="15.0" customHeight="1">
      <c r="A42" s="95">
        <v>7.0</v>
      </c>
      <c r="B42" s="96" t="s">
        <v>283</v>
      </c>
      <c r="C42" s="97" t="s">
        <v>284</v>
      </c>
      <c r="D42" s="97" t="s">
        <v>285</v>
      </c>
      <c r="E42" s="95"/>
      <c r="F42" s="101"/>
      <c r="G42" s="100"/>
      <c r="H42" s="100"/>
      <c r="I42" s="100"/>
      <c r="J42" s="100"/>
      <c r="K42" s="100"/>
      <c r="L42" s="100"/>
      <c r="M42" s="100"/>
      <c r="N42" s="104"/>
      <c r="O42" s="104"/>
      <c r="P42" s="104"/>
      <c r="Q42" s="100">
        <f t="shared" si="3"/>
        <v>0</v>
      </c>
    </row>
    <row r="43" ht="15.0" customHeight="1">
      <c r="A43" s="95">
        <v>8.0</v>
      </c>
      <c r="B43" s="96" t="s">
        <v>286</v>
      </c>
      <c r="C43" s="97" t="s">
        <v>287</v>
      </c>
      <c r="D43" s="97" t="s">
        <v>285</v>
      </c>
      <c r="E43" s="95"/>
      <c r="F43" s="101"/>
      <c r="G43" s="100"/>
      <c r="H43" s="100"/>
      <c r="I43" s="100"/>
      <c r="J43" s="100"/>
      <c r="K43" s="100"/>
      <c r="L43" s="100"/>
      <c r="M43" s="100"/>
      <c r="N43" s="104"/>
      <c r="O43" s="104"/>
      <c r="P43" s="104"/>
      <c r="Q43" s="100">
        <f t="shared" si="3"/>
        <v>0</v>
      </c>
    </row>
    <row r="44" ht="15.0" customHeight="1">
      <c r="A44" s="95">
        <v>9.0</v>
      </c>
      <c r="B44" s="96" t="s">
        <v>288</v>
      </c>
      <c r="C44" s="97" t="s">
        <v>289</v>
      </c>
      <c r="D44" s="97" t="s">
        <v>290</v>
      </c>
      <c r="E44" s="95"/>
      <c r="F44" s="101"/>
      <c r="G44" s="100"/>
      <c r="H44" s="100"/>
      <c r="I44" s="100"/>
      <c r="J44" s="100"/>
      <c r="K44" s="100"/>
      <c r="L44" s="100"/>
      <c r="M44" s="100"/>
      <c r="N44" s="104"/>
      <c r="O44" s="104"/>
      <c r="P44" s="104"/>
      <c r="Q44" s="100">
        <f t="shared" si="3"/>
        <v>0</v>
      </c>
    </row>
    <row r="45" ht="15.0" customHeight="1">
      <c r="A45" s="95">
        <v>10.0</v>
      </c>
      <c r="B45" s="96" t="s">
        <v>291</v>
      </c>
      <c r="C45" s="97" t="s">
        <v>292</v>
      </c>
      <c r="D45" s="97" t="s">
        <v>293</v>
      </c>
      <c r="E45" s="95"/>
      <c r="F45" s="93"/>
      <c r="G45" s="100"/>
      <c r="H45" s="100"/>
      <c r="I45" s="100"/>
      <c r="J45" s="100"/>
      <c r="K45" s="100"/>
      <c r="L45" s="100"/>
      <c r="M45" s="100"/>
      <c r="N45" s="104"/>
      <c r="O45" s="104"/>
      <c r="P45" s="104"/>
      <c r="Q45" s="100">
        <f t="shared" si="3"/>
        <v>0</v>
      </c>
    </row>
    <row r="46" ht="15.0" customHeight="1">
      <c r="A46" s="102"/>
      <c r="B46" s="102"/>
      <c r="C46" s="102"/>
      <c r="D46" s="102"/>
      <c r="E46" s="102"/>
      <c r="F46" s="102"/>
      <c r="G46" s="103"/>
      <c r="H46" s="103"/>
      <c r="I46" s="103"/>
      <c r="J46" s="103"/>
      <c r="K46" s="103"/>
      <c r="L46" s="103"/>
      <c r="M46" s="103"/>
      <c r="N46" s="105"/>
      <c r="O46" s="105"/>
      <c r="P46" s="105"/>
      <c r="Q46" s="103"/>
    </row>
    <row r="47" ht="15.0" customHeight="1">
      <c r="A47" s="95">
        <v>1.0</v>
      </c>
      <c r="B47" s="96" t="s">
        <v>294</v>
      </c>
      <c r="C47" s="97" t="s">
        <v>295</v>
      </c>
      <c r="D47" s="97" t="s">
        <v>296</v>
      </c>
      <c r="E47" s="95"/>
      <c r="F47" s="99" t="s">
        <v>297</v>
      </c>
      <c r="G47" s="100"/>
      <c r="H47" s="100"/>
      <c r="I47" s="100"/>
      <c r="J47" s="100"/>
      <c r="K47" s="100"/>
      <c r="L47" s="100"/>
      <c r="M47" s="100"/>
      <c r="N47" s="104"/>
      <c r="O47" s="104"/>
      <c r="P47" s="104"/>
      <c r="Q47" s="100">
        <f t="shared" ref="Q47:Q56" si="4">COUNTA(G47:P47)</f>
        <v>0</v>
      </c>
    </row>
    <row r="48" ht="15.0" customHeight="1">
      <c r="A48" s="95">
        <v>2.0</v>
      </c>
      <c r="B48" s="96" t="s">
        <v>298</v>
      </c>
      <c r="C48" s="97" t="s">
        <v>299</v>
      </c>
      <c r="D48" s="97" t="s">
        <v>183</v>
      </c>
      <c r="E48" s="95"/>
      <c r="F48" s="101"/>
      <c r="G48" s="100"/>
      <c r="H48" s="100"/>
      <c r="I48" s="100"/>
      <c r="J48" s="100"/>
      <c r="K48" s="100"/>
      <c r="L48" s="100"/>
      <c r="M48" s="100"/>
      <c r="N48" s="104"/>
      <c r="O48" s="104"/>
      <c r="P48" s="104"/>
      <c r="Q48" s="100">
        <f t="shared" si="4"/>
        <v>0</v>
      </c>
    </row>
    <row r="49" ht="15.0" customHeight="1">
      <c r="A49" s="95">
        <v>3.0</v>
      </c>
      <c r="B49" s="96" t="s">
        <v>300</v>
      </c>
      <c r="C49" s="97" t="s">
        <v>301</v>
      </c>
      <c r="D49" s="97" t="s">
        <v>302</v>
      </c>
      <c r="E49" s="95"/>
      <c r="F49" s="101"/>
      <c r="G49" s="100"/>
      <c r="H49" s="100"/>
      <c r="I49" s="100"/>
      <c r="J49" s="100"/>
      <c r="K49" s="100"/>
      <c r="L49" s="100"/>
      <c r="M49" s="100"/>
      <c r="N49" s="104"/>
      <c r="O49" s="104"/>
      <c r="P49" s="104"/>
      <c r="Q49" s="100">
        <f t="shared" si="4"/>
        <v>0</v>
      </c>
    </row>
    <row r="50" ht="15.0" customHeight="1">
      <c r="A50" s="95">
        <v>4.0</v>
      </c>
      <c r="B50" s="96" t="s">
        <v>303</v>
      </c>
      <c r="C50" s="97" t="s">
        <v>304</v>
      </c>
      <c r="D50" s="97" t="s">
        <v>305</v>
      </c>
      <c r="E50" s="95"/>
      <c r="F50" s="101"/>
      <c r="G50" s="100"/>
      <c r="H50" s="100"/>
      <c r="I50" s="100"/>
      <c r="J50" s="100"/>
      <c r="K50" s="100"/>
      <c r="L50" s="100"/>
      <c r="M50" s="100"/>
      <c r="N50" s="104"/>
      <c r="O50" s="104"/>
      <c r="P50" s="104"/>
      <c r="Q50" s="100">
        <f t="shared" si="4"/>
        <v>0</v>
      </c>
    </row>
    <row r="51" ht="15.0" customHeight="1">
      <c r="A51" s="95">
        <v>5.0</v>
      </c>
      <c r="B51" s="96" t="s">
        <v>306</v>
      </c>
      <c r="C51" s="97" t="s">
        <v>307</v>
      </c>
      <c r="D51" s="97" t="s">
        <v>308</v>
      </c>
      <c r="E51" s="95"/>
      <c r="F51" s="101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>
        <f t="shared" si="4"/>
        <v>0</v>
      </c>
    </row>
    <row r="52" ht="15.0" customHeight="1">
      <c r="A52" s="95">
        <v>6.0</v>
      </c>
      <c r="B52" s="96" t="s">
        <v>309</v>
      </c>
      <c r="C52" s="97" t="s">
        <v>310</v>
      </c>
      <c r="D52" s="97" t="s">
        <v>311</v>
      </c>
      <c r="E52" s="95"/>
      <c r="F52" s="101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>
        <f t="shared" si="4"/>
        <v>0</v>
      </c>
    </row>
    <row r="53" ht="15.0" customHeight="1">
      <c r="A53" s="95">
        <v>7.0</v>
      </c>
      <c r="B53" s="96" t="s">
        <v>312</v>
      </c>
      <c r="C53" s="97" t="s">
        <v>313</v>
      </c>
      <c r="D53" s="97" t="s">
        <v>314</v>
      </c>
      <c r="E53" s="95"/>
      <c r="F53" s="101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>
        <f t="shared" si="4"/>
        <v>0</v>
      </c>
    </row>
    <row r="54" ht="15.0" customHeight="1">
      <c r="A54" s="95">
        <v>8.0</v>
      </c>
      <c r="B54" s="96" t="s">
        <v>315</v>
      </c>
      <c r="C54" s="97" t="s">
        <v>316</v>
      </c>
      <c r="D54" s="97" t="s">
        <v>317</v>
      </c>
      <c r="E54" s="95"/>
      <c r="F54" s="101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>
        <f t="shared" si="4"/>
        <v>0</v>
      </c>
    </row>
    <row r="55" ht="15.0" customHeight="1">
      <c r="A55" s="95">
        <v>9.0</v>
      </c>
      <c r="B55" s="96" t="s">
        <v>318</v>
      </c>
      <c r="C55" s="97" t="s">
        <v>319</v>
      </c>
      <c r="D55" s="97" t="s">
        <v>320</v>
      </c>
      <c r="E55" s="95"/>
      <c r="F55" s="101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>
        <f t="shared" si="4"/>
        <v>0</v>
      </c>
    </row>
    <row r="56" ht="15.0" customHeight="1">
      <c r="A56" s="95">
        <v>10.0</v>
      </c>
      <c r="B56" s="96" t="s">
        <v>321</v>
      </c>
      <c r="C56" s="97" t="s">
        <v>322</v>
      </c>
      <c r="D56" s="97" t="s">
        <v>323</v>
      </c>
      <c r="E56" s="95"/>
      <c r="F56" s="93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>
        <f t="shared" si="4"/>
        <v>0</v>
      </c>
    </row>
    <row r="57" ht="15.0" customHeight="1">
      <c r="A57" s="102"/>
      <c r="B57" s="102"/>
      <c r="C57" s="102"/>
      <c r="D57" s="102"/>
      <c r="E57" s="102"/>
      <c r="F57" s="102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</row>
    <row r="58" ht="15.0" customHeight="1">
      <c r="A58" s="95">
        <v>1.0</v>
      </c>
      <c r="B58" s="96" t="s">
        <v>324</v>
      </c>
      <c r="C58" s="97" t="s">
        <v>325</v>
      </c>
      <c r="D58" s="97" t="s">
        <v>326</v>
      </c>
      <c r="E58" s="95"/>
      <c r="F58" s="99" t="s">
        <v>327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>
        <f t="shared" ref="Q58:Q67" si="5">COUNTA(G58:P58)</f>
        <v>0</v>
      </c>
    </row>
    <row r="59" ht="15.0" customHeight="1">
      <c r="A59" s="95">
        <v>2.0</v>
      </c>
      <c r="B59" s="96" t="s">
        <v>328</v>
      </c>
      <c r="C59" s="97" t="s">
        <v>329</v>
      </c>
      <c r="D59" s="97" t="s">
        <v>330</v>
      </c>
      <c r="E59" s="95"/>
      <c r="F59" s="101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>
        <f t="shared" si="5"/>
        <v>0</v>
      </c>
    </row>
    <row r="60" ht="15.0" customHeight="1">
      <c r="A60" s="95">
        <v>3.0</v>
      </c>
      <c r="B60" s="96" t="s">
        <v>331</v>
      </c>
      <c r="C60" s="97" t="s">
        <v>332</v>
      </c>
      <c r="D60" s="97" t="s">
        <v>333</v>
      </c>
      <c r="E60" s="95"/>
      <c r="F60" s="101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>
        <f t="shared" si="5"/>
        <v>0</v>
      </c>
    </row>
    <row r="61" ht="15.0" customHeight="1">
      <c r="A61" s="95">
        <v>4.0</v>
      </c>
      <c r="B61" s="96" t="s">
        <v>334</v>
      </c>
      <c r="C61" s="97" t="s">
        <v>335</v>
      </c>
      <c r="D61" s="97" t="s">
        <v>336</v>
      </c>
      <c r="E61" s="95"/>
      <c r="F61" s="101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>
        <f t="shared" si="5"/>
        <v>0</v>
      </c>
    </row>
    <row r="62" ht="15.0" customHeight="1">
      <c r="A62" s="95">
        <v>5.0</v>
      </c>
      <c r="B62" s="96" t="s">
        <v>337</v>
      </c>
      <c r="C62" s="97" t="s">
        <v>338</v>
      </c>
      <c r="D62" s="97" t="s">
        <v>339</v>
      </c>
      <c r="E62" s="95"/>
      <c r="F62" s="101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>
        <f t="shared" si="5"/>
        <v>0</v>
      </c>
    </row>
    <row r="63" ht="15.0" customHeight="1">
      <c r="A63" s="95">
        <v>6.0</v>
      </c>
      <c r="B63" s="96" t="s">
        <v>340</v>
      </c>
      <c r="C63" s="97" t="s">
        <v>341</v>
      </c>
      <c r="D63" s="97" t="s">
        <v>342</v>
      </c>
      <c r="E63" s="95"/>
      <c r="F63" s="101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>
        <f t="shared" si="5"/>
        <v>0</v>
      </c>
    </row>
    <row r="64" ht="15.0" customHeight="1">
      <c r="A64" s="95">
        <v>7.0</v>
      </c>
      <c r="B64" s="96" t="s">
        <v>343</v>
      </c>
      <c r="C64" s="97" t="s">
        <v>344</v>
      </c>
      <c r="D64" s="97" t="s">
        <v>345</v>
      </c>
      <c r="E64" s="95"/>
      <c r="F64" s="101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>
        <f t="shared" si="5"/>
        <v>0</v>
      </c>
    </row>
    <row r="65" ht="15.0" customHeight="1">
      <c r="A65" s="95">
        <v>8.0</v>
      </c>
      <c r="B65" s="96" t="s">
        <v>346</v>
      </c>
      <c r="C65" s="97" t="s">
        <v>347</v>
      </c>
      <c r="D65" s="97" t="s">
        <v>348</v>
      </c>
      <c r="E65" s="95"/>
      <c r="F65" s="101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>
        <f t="shared" si="5"/>
        <v>0</v>
      </c>
    </row>
    <row r="66" ht="15.0" customHeight="1">
      <c r="A66" s="95">
        <v>9.0</v>
      </c>
      <c r="B66" s="96" t="s">
        <v>349</v>
      </c>
      <c r="C66" s="97" t="s">
        <v>350</v>
      </c>
      <c r="D66" s="97" t="s">
        <v>351</v>
      </c>
      <c r="E66" s="95"/>
      <c r="F66" s="101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>
        <f t="shared" si="5"/>
        <v>0</v>
      </c>
    </row>
    <row r="67" ht="15.0" customHeight="1">
      <c r="A67" s="95">
        <v>10.0</v>
      </c>
      <c r="B67" s="96" t="s">
        <v>352</v>
      </c>
      <c r="C67" s="97" t="s">
        <v>353</v>
      </c>
      <c r="D67" s="97" t="s">
        <v>354</v>
      </c>
      <c r="E67" s="95"/>
      <c r="F67" s="93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>
        <f t="shared" si="5"/>
        <v>0</v>
      </c>
    </row>
    <row r="68" ht="15.0" customHeight="1">
      <c r="A68" s="102"/>
      <c r="B68" s="102"/>
      <c r="C68" s="102"/>
      <c r="D68" s="102"/>
      <c r="E68" s="102"/>
      <c r="F68" s="102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</row>
    <row r="69" ht="15.0" customHeight="1">
      <c r="A69" s="95">
        <v>1.0</v>
      </c>
      <c r="B69" s="96" t="s">
        <v>355</v>
      </c>
      <c r="C69" s="97" t="s">
        <v>356</v>
      </c>
      <c r="D69" s="97" t="s">
        <v>357</v>
      </c>
      <c r="E69" s="95"/>
      <c r="F69" s="99" t="s">
        <v>358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>
        <f t="shared" ref="Q69:Q78" si="6">COUNTA(G69:P69)</f>
        <v>0</v>
      </c>
    </row>
    <row r="70" ht="15.0" customHeight="1">
      <c r="A70" s="95">
        <v>2.0</v>
      </c>
      <c r="B70" s="96" t="s">
        <v>359</v>
      </c>
      <c r="C70" s="97" t="s">
        <v>360</v>
      </c>
      <c r="D70" s="97" t="s">
        <v>361</v>
      </c>
      <c r="E70" s="95"/>
      <c r="F70" s="101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>
        <f t="shared" si="6"/>
        <v>0</v>
      </c>
    </row>
    <row r="71" ht="15.0" customHeight="1">
      <c r="A71" s="95">
        <v>3.0</v>
      </c>
      <c r="B71" s="96" t="s">
        <v>362</v>
      </c>
      <c r="C71" s="97" t="s">
        <v>363</v>
      </c>
      <c r="D71" s="97" t="s">
        <v>364</v>
      </c>
      <c r="E71" s="95"/>
      <c r="F71" s="101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>
        <f t="shared" si="6"/>
        <v>0</v>
      </c>
    </row>
    <row r="72" ht="15.0" customHeight="1">
      <c r="A72" s="95">
        <v>4.0</v>
      </c>
      <c r="B72" s="96" t="s">
        <v>365</v>
      </c>
      <c r="C72" s="97" t="s">
        <v>366</v>
      </c>
      <c r="D72" s="97" t="s">
        <v>367</v>
      </c>
      <c r="E72" s="95"/>
      <c r="F72" s="101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>
        <f t="shared" si="6"/>
        <v>0</v>
      </c>
    </row>
    <row r="73" ht="15.0" customHeight="1">
      <c r="A73" s="95">
        <v>5.0</v>
      </c>
      <c r="B73" s="96" t="s">
        <v>368</v>
      </c>
      <c r="C73" s="97" t="s">
        <v>369</v>
      </c>
      <c r="D73" s="97" t="s">
        <v>370</v>
      </c>
      <c r="E73" s="95"/>
      <c r="F73" s="101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>
        <f t="shared" si="6"/>
        <v>0</v>
      </c>
    </row>
    <row r="74" ht="15.0" customHeight="1">
      <c r="A74" s="95">
        <v>6.0</v>
      </c>
      <c r="B74" s="96" t="s">
        <v>371</v>
      </c>
      <c r="C74" s="97" t="s">
        <v>372</v>
      </c>
      <c r="D74" s="97" t="s">
        <v>373</v>
      </c>
      <c r="E74" s="95"/>
      <c r="F74" s="101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>
        <f t="shared" si="6"/>
        <v>0</v>
      </c>
    </row>
    <row r="75" ht="15.0" customHeight="1">
      <c r="A75" s="95">
        <v>7.0</v>
      </c>
      <c r="B75" s="96" t="s">
        <v>374</v>
      </c>
      <c r="C75" s="97" t="s">
        <v>375</v>
      </c>
      <c r="D75" s="97" t="s">
        <v>376</v>
      </c>
      <c r="E75" s="95"/>
      <c r="F75" s="101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>
        <f t="shared" si="6"/>
        <v>0</v>
      </c>
    </row>
    <row r="76" ht="15.0" customHeight="1">
      <c r="A76" s="95">
        <v>8.0</v>
      </c>
      <c r="B76" s="96" t="s">
        <v>377</v>
      </c>
      <c r="C76" s="97" t="s">
        <v>378</v>
      </c>
      <c r="D76" s="97" t="s">
        <v>379</v>
      </c>
      <c r="E76" s="95"/>
      <c r="F76" s="101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>
        <f t="shared" si="6"/>
        <v>0</v>
      </c>
    </row>
    <row r="77" ht="15.0" customHeight="1">
      <c r="A77" s="95">
        <v>9.0</v>
      </c>
      <c r="B77" s="96" t="s">
        <v>380</v>
      </c>
      <c r="C77" s="97" t="s">
        <v>381</v>
      </c>
      <c r="D77" s="97" t="s">
        <v>382</v>
      </c>
      <c r="E77" s="95"/>
      <c r="F77" s="101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>
        <f t="shared" si="6"/>
        <v>0</v>
      </c>
    </row>
    <row r="78" ht="15.0" customHeight="1">
      <c r="A78" s="95">
        <v>10.0</v>
      </c>
      <c r="B78" s="96" t="s">
        <v>383</v>
      </c>
      <c r="C78" s="97" t="s">
        <v>384</v>
      </c>
      <c r="D78" s="97" t="s">
        <v>385</v>
      </c>
      <c r="E78" s="95"/>
      <c r="F78" s="93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>
        <f t="shared" si="6"/>
        <v>0</v>
      </c>
    </row>
    <row r="79" ht="15.0" customHeight="1">
      <c r="A79" s="102"/>
      <c r="B79" s="102"/>
      <c r="C79" s="102"/>
      <c r="D79" s="102"/>
      <c r="E79" s="102"/>
      <c r="F79" s="102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</row>
    <row r="80" ht="15.0" customHeight="1">
      <c r="A80" s="95">
        <v>1.0</v>
      </c>
      <c r="B80" s="96" t="s">
        <v>386</v>
      </c>
      <c r="C80" s="97" t="s">
        <v>387</v>
      </c>
      <c r="D80" s="97" t="s">
        <v>388</v>
      </c>
      <c r="E80" s="95"/>
      <c r="F80" s="99" t="s">
        <v>389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>
        <f t="shared" ref="Q80:Q89" si="7">COUNTA(G80:P80)</f>
        <v>0</v>
      </c>
    </row>
    <row r="81" ht="15.0" customHeight="1">
      <c r="A81" s="95">
        <v>2.0</v>
      </c>
      <c r="B81" s="96" t="s">
        <v>390</v>
      </c>
      <c r="C81" s="97" t="s">
        <v>391</v>
      </c>
      <c r="D81" s="97" t="s">
        <v>392</v>
      </c>
      <c r="E81" s="95"/>
      <c r="F81" s="101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>
        <f t="shared" si="7"/>
        <v>0</v>
      </c>
    </row>
    <row r="82" ht="15.0" customHeight="1">
      <c r="A82" s="95">
        <v>3.0</v>
      </c>
      <c r="B82" s="96" t="s">
        <v>393</v>
      </c>
      <c r="C82" s="97" t="s">
        <v>394</v>
      </c>
      <c r="D82" s="97" t="s">
        <v>395</v>
      </c>
      <c r="E82" s="95"/>
      <c r="F82" s="101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>
        <f t="shared" si="7"/>
        <v>0</v>
      </c>
    </row>
    <row r="83" ht="15.0" customHeight="1">
      <c r="A83" s="95">
        <v>4.0</v>
      </c>
      <c r="B83" s="96" t="s">
        <v>396</v>
      </c>
      <c r="C83" s="97" t="s">
        <v>397</v>
      </c>
      <c r="D83" s="97" t="s">
        <v>398</v>
      </c>
      <c r="E83" s="95"/>
      <c r="F83" s="101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>
        <f t="shared" si="7"/>
        <v>0</v>
      </c>
    </row>
    <row r="84" ht="15.0" customHeight="1">
      <c r="A84" s="95">
        <v>5.0</v>
      </c>
      <c r="B84" s="96" t="s">
        <v>399</v>
      </c>
      <c r="C84" s="97" t="s">
        <v>400</v>
      </c>
      <c r="D84" s="97" t="s">
        <v>401</v>
      </c>
      <c r="E84" s="95"/>
      <c r="F84" s="101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>
        <f t="shared" si="7"/>
        <v>0</v>
      </c>
    </row>
    <row r="85" ht="15.0" customHeight="1">
      <c r="A85" s="95">
        <v>6.0</v>
      </c>
      <c r="B85" s="96" t="s">
        <v>402</v>
      </c>
      <c r="C85" s="97" t="s">
        <v>403</v>
      </c>
      <c r="D85" s="97" t="s">
        <v>404</v>
      </c>
      <c r="E85" s="95"/>
      <c r="F85" s="101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>
        <f t="shared" si="7"/>
        <v>0</v>
      </c>
    </row>
    <row r="86" ht="15.0" customHeight="1">
      <c r="A86" s="95">
        <v>7.0</v>
      </c>
      <c r="B86" s="96" t="s">
        <v>405</v>
      </c>
      <c r="C86" s="97" t="s">
        <v>406</v>
      </c>
      <c r="D86" s="97" t="s">
        <v>407</v>
      </c>
      <c r="E86" s="95"/>
      <c r="F86" s="101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>
        <f t="shared" si="7"/>
        <v>0</v>
      </c>
    </row>
    <row r="87" ht="15.0" customHeight="1">
      <c r="A87" s="95">
        <v>8.0</v>
      </c>
      <c r="B87" s="96" t="s">
        <v>408</v>
      </c>
      <c r="C87" s="97" t="s">
        <v>409</v>
      </c>
      <c r="D87" s="97" t="s">
        <v>410</v>
      </c>
      <c r="E87" s="95"/>
      <c r="F87" s="101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>
        <f t="shared" si="7"/>
        <v>0</v>
      </c>
    </row>
    <row r="88" ht="15.0" customHeight="1">
      <c r="A88" s="95">
        <v>9.0</v>
      </c>
      <c r="B88" s="96" t="s">
        <v>411</v>
      </c>
      <c r="C88" s="97" t="s">
        <v>412</v>
      </c>
      <c r="D88" s="97" t="s">
        <v>413</v>
      </c>
      <c r="E88" s="95"/>
      <c r="F88" s="101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>
        <f t="shared" si="7"/>
        <v>0</v>
      </c>
    </row>
    <row r="89" ht="15.0" customHeight="1">
      <c r="A89" s="95">
        <v>10.0</v>
      </c>
      <c r="B89" s="96" t="s">
        <v>414</v>
      </c>
      <c r="C89" s="97" t="s">
        <v>415</v>
      </c>
      <c r="D89" s="97" t="s">
        <v>416</v>
      </c>
      <c r="E89" s="95"/>
      <c r="F89" s="93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>
        <f t="shared" si="7"/>
        <v>0</v>
      </c>
    </row>
    <row r="90" ht="15.0" customHeight="1">
      <c r="A90" s="102"/>
      <c r="B90" s="102"/>
      <c r="C90" s="102"/>
      <c r="D90" s="102"/>
      <c r="E90" s="102"/>
      <c r="F90" s="102"/>
      <c r="G90" s="103">
        <f t="shared" ref="G90:P90" si="8">COUNTA(G3:G89)</f>
        <v>0</v>
      </c>
      <c r="H90" s="103">
        <f t="shared" si="8"/>
        <v>0</v>
      </c>
      <c r="I90" s="103">
        <f t="shared" si="8"/>
        <v>0</v>
      </c>
      <c r="J90" s="103">
        <f t="shared" si="8"/>
        <v>0</v>
      </c>
      <c r="K90" s="103">
        <f t="shared" si="8"/>
        <v>0</v>
      </c>
      <c r="L90" s="103">
        <f t="shared" si="8"/>
        <v>0</v>
      </c>
      <c r="M90" s="103">
        <f t="shared" si="8"/>
        <v>0</v>
      </c>
      <c r="N90" s="103">
        <f t="shared" si="8"/>
        <v>0</v>
      </c>
      <c r="O90" s="103">
        <f t="shared" si="8"/>
        <v>0</v>
      </c>
      <c r="P90" s="103">
        <f t="shared" si="8"/>
        <v>0</v>
      </c>
      <c r="Q90" s="103"/>
    </row>
    <row r="91" ht="15.0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</row>
    <row r="92" ht="15.0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</row>
    <row r="93" ht="15.0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</row>
    <row r="94" ht="15.0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</row>
    <row r="95" ht="15.0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</row>
    <row r="96" ht="15.0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</row>
    <row r="97" ht="15.0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</row>
    <row r="98" ht="15.0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</row>
    <row r="99" ht="15.0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</row>
    <row r="100" ht="15.0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</row>
    <row r="101" ht="15.0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</row>
    <row r="102" ht="15.0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</row>
    <row r="103" ht="15.0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</row>
    <row r="104" ht="15.0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</row>
    <row r="105" ht="15.0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</row>
    <row r="106" ht="15.0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</row>
    <row r="107" ht="15.0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</row>
    <row r="108" ht="15.0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</row>
    <row r="109" ht="15.0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</row>
    <row r="110" ht="15.0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</row>
    <row r="111" ht="15.0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</row>
    <row r="112" ht="15.0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</row>
    <row r="113" ht="15.0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</row>
    <row r="114" ht="15.0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</row>
    <row r="115" ht="15.0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</row>
    <row r="116" ht="15.0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</row>
    <row r="117" ht="15.0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</row>
    <row r="118" ht="15.0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</row>
    <row r="119" ht="15.0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</row>
    <row r="120" ht="15.0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</row>
    <row r="121" ht="15.0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</row>
    <row r="122" ht="15.0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</row>
    <row r="123" ht="15.0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</row>
    <row r="124" ht="15.0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</row>
    <row r="125" ht="15.0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</row>
    <row r="126" ht="15.0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</row>
    <row r="127" ht="15.0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</row>
    <row r="128" ht="15.0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</row>
    <row r="129" ht="15.0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</row>
    <row r="130" ht="15.0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</row>
    <row r="131" ht="15.0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</row>
    <row r="132" ht="15.0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</row>
    <row r="133" ht="15.0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</row>
    <row r="134" ht="15.0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</row>
    <row r="135" ht="15.0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</row>
    <row r="136" ht="15.0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</row>
    <row r="137" ht="15.0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</row>
    <row r="138" ht="15.0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</row>
    <row r="139" ht="15.0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</row>
    <row r="140" ht="15.0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</row>
    <row r="141" ht="15.0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</row>
    <row r="142" ht="15.0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</row>
    <row r="143" ht="15.0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</row>
    <row r="144" ht="15.0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</row>
    <row r="145" ht="15.0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</row>
    <row r="146" ht="15.0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</row>
    <row r="147" ht="15.0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</row>
    <row r="148" ht="15.0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</row>
    <row r="149" ht="15.0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</row>
    <row r="150" ht="15.0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</row>
    <row r="151" ht="15.0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</row>
    <row r="152" ht="15.0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</row>
    <row r="153" ht="15.0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</row>
    <row r="154" ht="15.0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</row>
    <row r="155" ht="15.0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</row>
    <row r="156" ht="15.0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</row>
    <row r="157" ht="15.0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</row>
    <row r="158" ht="15.0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</row>
    <row r="159" ht="15.0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</row>
    <row r="160" ht="15.0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</row>
    <row r="161" ht="15.0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</row>
    <row r="162" ht="15.0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</row>
    <row r="163" ht="15.0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</row>
    <row r="164" ht="15.0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</row>
    <row r="165" ht="15.0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</row>
    <row r="166" ht="15.0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</row>
    <row r="167" ht="15.0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</row>
    <row r="168" ht="15.0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</row>
    <row r="169" ht="15.0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</row>
    <row r="170" ht="15.0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</row>
    <row r="171" ht="15.0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</row>
    <row r="172" ht="15.0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</row>
    <row r="173" ht="15.0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</row>
    <row r="174" ht="15.0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</row>
    <row r="175" ht="15.0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</row>
    <row r="176" ht="15.0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</row>
    <row r="177" ht="15.0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</row>
    <row r="178" ht="15.0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</row>
    <row r="179" ht="15.0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</row>
    <row r="180" ht="15.0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</row>
    <row r="181" ht="15.0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</row>
    <row r="182" ht="15.0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</row>
    <row r="183" ht="15.0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</row>
    <row r="184" ht="15.0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</row>
    <row r="185" ht="15.0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</row>
    <row r="186" ht="15.0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</row>
    <row r="187" ht="15.0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</row>
    <row r="188" ht="15.0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</row>
    <row r="189" ht="15.0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</row>
    <row r="190" ht="15.0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</row>
    <row r="191" ht="15.0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</row>
    <row r="192" ht="15.0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</row>
    <row r="193" ht="15.0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</row>
    <row r="194" ht="15.0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</row>
    <row r="195" ht="15.0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</row>
    <row r="196" ht="15.0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</row>
    <row r="197" ht="15.0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</row>
    <row r="198" ht="15.0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</row>
    <row r="199" ht="15.0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</row>
    <row r="200" ht="15.0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</row>
    <row r="201" ht="15.0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</row>
    <row r="202" ht="15.0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</row>
    <row r="203" ht="15.0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</row>
    <row r="204" ht="15.0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</row>
    <row r="205" ht="15.0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</row>
    <row r="206" ht="15.0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</row>
    <row r="207" ht="15.0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</row>
    <row r="208" ht="15.0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</row>
    <row r="209" ht="15.0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</row>
    <row r="210" ht="15.0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</row>
    <row r="211" ht="15.0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</row>
    <row r="212" ht="15.0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</row>
    <row r="213" ht="15.0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</row>
    <row r="214" ht="15.0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</row>
    <row r="215" ht="15.0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</row>
    <row r="216" ht="15.0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</row>
    <row r="217" ht="15.0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</row>
    <row r="218" ht="15.0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</row>
    <row r="219" ht="15.0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</row>
    <row r="220" ht="15.0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</row>
    <row r="221" ht="15.0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</row>
    <row r="222" ht="15.0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</row>
    <row r="223" ht="15.0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</row>
    <row r="224" ht="15.0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</row>
    <row r="225" ht="15.0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</row>
    <row r="226" ht="15.0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</row>
    <row r="227" ht="15.0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</row>
    <row r="228" ht="15.0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</row>
    <row r="229" ht="15.0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</row>
    <row r="230" ht="15.0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</row>
    <row r="231" ht="15.0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</row>
    <row r="232" ht="15.0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</row>
    <row r="233" ht="15.0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</row>
    <row r="234" ht="15.0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</row>
    <row r="235" ht="15.0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</row>
    <row r="236" ht="15.0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</row>
    <row r="237" ht="15.0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</row>
    <row r="238" ht="15.0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</row>
    <row r="239" ht="15.0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</row>
    <row r="240" ht="15.0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</row>
    <row r="241" ht="15.0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</row>
    <row r="242" ht="15.0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</row>
    <row r="243" ht="15.0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</row>
    <row r="244" ht="15.0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</row>
    <row r="245" ht="15.0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</row>
    <row r="246" ht="15.0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</row>
    <row r="247" ht="15.0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</row>
    <row r="248" ht="15.0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</row>
    <row r="249" ht="15.0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</row>
    <row r="250" ht="15.0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</row>
    <row r="251" ht="15.0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</row>
    <row r="252" ht="15.0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</row>
    <row r="253" ht="15.0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</row>
    <row r="254" ht="15.0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</row>
    <row r="255" ht="15.0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</row>
    <row r="256" ht="15.0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</row>
    <row r="257" ht="15.0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</row>
    <row r="258" ht="15.0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</row>
    <row r="259" ht="15.0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</row>
    <row r="260" ht="15.0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</row>
    <row r="261" ht="15.0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</row>
    <row r="262" ht="15.0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</row>
    <row r="263" ht="15.0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</row>
    <row r="264" ht="15.0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</row>
    <row r="265" ht="15.0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</row>
    <row r="266" ht="15.0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</row>
    <row r="267" ht="15.0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</row>
    <row r="268" ht="15.0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</row>
    <row r="269" ht="15.0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</row>
    <row r="270" ht="15.0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</row>
    <row r="271" ht="15.0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</row>
    <row r="272" ht="15.0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</row>
    <row r="273" ht="15.0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</row>
    <row r="274" ht="15.0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</row>
    <row r="275" ht="15.0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</row>
    <row r="276" ht="15.0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</row>
    <row r="277" ht="15.0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</row>
    <row r="278" ht="15.0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</row>
    <row r="279" ht="15.0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</row>
    <row r="280" ht="15.0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</row>
    <row r="281" ht="15.0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</row>
    <row r="282" ht="15.0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</row>
    <row r="283" ht="15.0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</row>
    <row r="284" ht="15.0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</row>
    <row r="285" ht="15.0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</row>
    <row r="286" ht="15.0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</row>
    <row r="287" ht="15.0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</row>
    <row r="288" ht="15.0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</row>
    <row r="289" ht="15.0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</row>
    <row r="290" ht="15.0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</row>
    <row r="291" ht="15.75" customHeight="1">
      <c r="B291" s="4"/>
      <c r="C291" s="4"/>
      <c r="D291" s="4"/>
      <c r="E291" s="4"/>
    </row>
    <row r="292" ht="15.75" customHeight="1">
      <c r="B292" s="4"/>
      <c r="C292" s="4"/>
      <c r="D292" s="4"/>
      <c r="E292" s="4"/>
    </row>
    <row r="293" ht="15.75" customHeight="1">
      <c r="B293" s="4"/>
      <c r="C293" s="4"/>
      <c r="D293" s="4"/>
      <c r="E293" s="4"/>
    </row>
    <row r="294" ht="15.75" customHeight="1">
      <c r="B294" s="4"/>
      <c r="C294" s="4"/>
      <c r="D294" s="4"/>
      <c r="E294" s="4"/>
    </row>
    <row r="295" ht="15.75" customHeight="1">
      <c r="B295" s="4"/>
      <c r="C295" s="4"/>
      <c r="D295" s="4"/>
      <c r="E295" s="4"/>
    </row>
    <row r="296" ht="15.75" customHeight="1">
      <c r="B296" s="4"/>
      <c r="C296" s="4"/>
      <c r="D296" s="4"/>
      <c r="E296" s="4"/>
    </row>
    <row r="297" ht="15.75" customHeight="1">
      <c r="B297" s="4"/>
      <c r="C297" s="4"/>
      <c r="D297" s="4"/>
      <c r="E297" s="4"/>
    </row>
    <row r="298" ht="15.75" customHeight="1">
      <c r="B298" s="4"/>
      <c r="C298" s="4"/>
      <c r="D298" s="4"/>
      <c r="E298" s="4"/>
    </row>
    <row r="299" ht="15.75" customHeight="1">
      <c r="B299" s="4"/>
      <c r="C299" s="4"/>
      <c r="D299" s="4"/>
      <c r="E299" s="4"/>
    </row>
    <row r="300" ht="15.75" customHeight="1">
      <c r="B300" s="4"/>
      <c r="C300" s="4"/>
      <c r="D300" s="4"/>
      <c r="E300" s="4"/>
    </row>
    <row r="301" ht="15.75" customHeight="1">
      <c r="B301" s="4"/>
      <c r="C301" s="4"/>
      <c r="D301" s="4"/>
      <c r="E301" s="4"/>
    </row>
    <row r="302" ht="15.75" customHeight="1">
      <c r="B302" s="4"/>
      <c r="C302" s="4"/>
      <c r="D302" s="4"/>
      <c r="E302" s="4"/>
    </row>
    <row r="303" ht="15.75" customHeight="1">
      <c r="B303" s="4"/>
      <c r="C303" s="4"/>
      <c r="D303" s="4"/>
      <c r="E303" s="4"/>
    </row>
    <row r="304" ht="15.75" customHeight="1">
      <c r="B304" s="4"/>
      <c r="C304" s="4"/>
      <c r="D304" s="4"/>
      <c r="E304" s="4"/>
    </row>
    <row r="305" ht="15.75" customHeight="1">
      <c r="B305" s="4"/>
      <c r="C305" s="4"/>
      <c r="D305" s="4"/>
      <c r="E305" s="4"/>
    </row>
    <row r="306" ht="15.75" customHeight="1">
      <c r="B306" s="4"/>
      <c r="C306" s="4"/>
      <c r="D306" s="4"/>
      <c r="E306" s="4"/>
    </row>
    <row r="307" ht="15.75" customHeight="1">
      <c r="B307" s="4"/>
      <c r="C307" s="4"/>
      <c r="D307" s="4"/>
      <c r="E307" s="4"/>
    </row>
    <row r="308" ht="15.75" customHeight="1">
      <c r="B308" s="4"/>
      <c r="C308" s="4"/>
      <c r="D308" s="4"/>
      <c r="E308" s="4"/>
    </row>
    <row r="309" ht="15.75" customHeight="1">
      <c r="B309" s="4"/>
      <c r="C309" s="4"/>
      <c r="D309" s="4"/>
      <c r="E309" s="4"/>
    </row>
    <row r="310" ht="15.75" customHeight="1">
      <c r="B310" s="4"/>
      <c r="C310" s="4"/>
      <c r="D310" s="4"/>
      <c r="E310" s="4"/>
    </row>
    <row r="311" ht="15.75" customHeight="1">
      <c r="B311" s="4"/>
      <c r="C311" s="4"/>
      <c r="D311" s="4"/>
      <c r="E311" s="4"/>
    </row>
    <row r="312" ht="15.75" customHeight="1">
      <c r="B312" s="4"/>
      <c r="C312" s="4"/>
      <c r="D312" s="4"/>
      <c r="E312" s="4"/>
    </row>
    <row r="313" ht="15.75" customHeight="1">
      <c r="B313" s="4"/>
      <c r="C313" s="4"/>
      <c r="D313" s="4"/>
      <c r="E313" s="4"/>
    </row>
    <row r="314" ht="15.75" customHeight="1">
      <c r="B314" s="4"/>
      <c r="C314" s="4"/>
      <c r="D314" s="4"/>
      <c r="E314" s="4"/>
    </row>
    <row r="315" ht="15.75" customHeight="1">
      <c r="B315" s="4"/>
      <c r="C315" s="4"/>
      <c r="D315" s="4"/>
      <c r="E315" s="4"/>
    </row>
    <row r="316" ht="15.75" customHeight="1">
      <c r="B316" s="4"/>
      <c r="C316" s="4"/>
      <c r="D316" s="4"/>
      <c r="E316" s="4"/>
    </row>
    <row r="317" ht="15.75" customHeight="1">
      <c r="B317" s="4"/>
      <c r="C317" s="4"/>
      <c r="D317" s="4"/>
      <c r="E317" s="4"/>
    </row>
    <row r="318" ht="15.75" customHeight="1">
      <c r="B318" s="4"/>
      <c r="C318" s="4"/>
      <c r="D318" s="4"/>
      <c r="E318" s="4"/>
    </row>
    <row r="319" ht="15.75" customHeight="1">
      <c r="B319" s="4"/>
      <c r="C319" s="4"/>
      <c r="D319" s="4"/>
      <c r="E319" s="4"/>
    </row>
    <row r="320" ht="15.75" customHeight="1">
      <c r="B320" s="4"/>
      <c r="C320" s="4"/>
      <c r="D320" s="4"/>
      <c r="E320" s="4"/>
    </row>
    <row r="321" ht="15.75" customHeight="1">
      <c r="B321" s="4"/>
      <c r="C321" s="4"/>
      <c r="D321" s="4"/>
      <c r="E321" s="4"/>
    </row>
    <row r="322" ht="15.75" customHeight="1">
      <c r="B322" s="4"/>
      <c r="C322" s="4"/>
      <c r="D322" s="4"/>
      <c r="E322" s="4"/>
    </row>
    <row r="323" ht="15.75" customHeight="1">
      <c r="B323" s="4"/>
      <c r="C323" s="4"/>
      <c r="D323" s="4"/>
      <c r="E323" s="4"/>
    </row>
    <row r="324" ht="15.75" customHeight="1">
      <c r="B324" s="4"/>
      <c r="C324" s="4"/>
      <c r="D324" s="4"/>
      <c r="E324" s="4"/>
    </row>
    <row r="325" ht="15.75" customHeight="1">
      <c r="B325" s="4"/>
      <c r="C325" s="4"/>
      <c r="D325" s="4"/>
      <c r="E325" s="4"/>
    </row>
    <row r="326" ht="15.75" customHeight="1">
      <c r="B326" s="4"/>
      <c r="C326" s="4"/>
      <c r="D326" s="4"/>
      <c r="E326" s="4"/>
    </row>
    <row r="327" ht="15.75" customHeight="1">
      <c r="B327" s="4"/>
      <c r="C327" s="4"/>
      <c r="D327" s="4"/>
      <c r="E327" s="4"/>
    </row>
    <row r="328" ht="15.75" customHeight="1">
      <c r="B328" s="4"/>
      <c r="C328" s="4"/>
      <c r="D328" s="4"/>
      <c r="E328" s="4"/>
    </row>
    <row r="329" ht="15.75" customHeight="1">
      <c r="B329" s="4"/>
      <c r="C329" s="4"/>
      <c r="D329" s="4"/>
      <c r="E329" s="4"/>
    </row>
    <row r="330" ht="15.75" customHeight="1">
      <c r="B330" s="4"/>
      <c r="C330" s="4"/>
      <c r="D330" s="4"/>
      <c r="E330" s="4"/>
    </row>
    <row r="331" ht="15.75" customHeight="1">
      <c r="B331" s="4"/>
      <c r="C331" s="4"/>
      <c r="D331" s="4"/>
      <c r="E331" s="4"/>
    </row>
    <row r="332" ht="15.75" customHeight="1">
      <c r="B332" s="4"/>
      <c r="C332" s="4"/>
      <c r="D332" s="4"/>
      <c r="E332" s="4"/>
    </row>
    <row r="333" ht="15.75" customHeight="1">
      <c r="B333" s="4"/>
      <c r="C333" s="4"/>
      <c r="D333" s="4"/>
      <c r="E333" s="4"/>
    </row>
    <row r="334" ht="15.75" customHeight="1">
      <c r="B334" s="4"/>
      <c r="C334" s="4"/>
      <c r="D334" s="4"/>
      <c r="E334" s="4"/>
    </row>
    <row r="335" ht="15.75" customHeight="1">
      <c r="B335" s="4"/>
      <c r="C335" s="4"/>
      <c r="D335" s="4"/>
      <c r="E335" s="4"/>
    </row>
    <row r="336" ht="15.75" customHeight="1">
      <c r="B336" s="4"/>
      <c r="C336" s="4"/>
      <c r="D336" s="4"/>
      <c r="E336" s="4"/>
    </row>
    <row r="337" ht="15.75" customHeight="1">
      <c r="B337" s="4"/>
      <c r="C337" s="4"/>
      <c r="D337" s="4"/>
      <c r="E337" s="4"/>
    </row>
    <row r="338" ht="15.75" customHeight="1">
      <c r="B338" s="4"/>
      <c r="C338" s="4"/>
      <c r="D338" s="4"/>
      <c r="E338" s="4"/>
    </row>
    <row r="339" ht="15.75" customHeight="1">
      <c r="B339" s="4"/>
      <c r="C339" s="4"/>
      <c r="D339" s="4"/>
      <c r="E339" s="4"/>
    </row>
    <row r="340" ht="15.75" customHeight="1">
      <c r="B340" s="4"/>
      <c r="C340" s="4"/>
      <c r="D340" s="4"/>
      <c r="E340" s="4"/>
    </row>
    <row r="341" ht="15.75" customHeight="1">
      <c r="B341" s="4"/>
      <c r="C341" s="4"/>
      <c r="D341" s="4"/>
      <c r="E341" s="4"/>
    </row>
    <row r="342" ht="15.75" customHeight="1">
      <c r="B342" s="4"/>
      <c r="C342" s="4"/>
      <c r="D342" s="4"/>
      <c r="E342" s="4"/>
    </row>
    <row r="343" ht="15.75" customHeight="1">
      <c r="B343" s="4"/>
      <c r="C343" s="4"/>
      <c r="D343" s="4"/>
      <c r="E343" s="4"/>
    </row>
    <row r="344" ht="15.75" customHeight="1">
      <c r="B344" s="4"/>
      <c r="C344" s="4"/>
      <c r="D344" s="4"/>
      <c r="E344" s="4"/>
    </row>
    <row r="345" ht="15.75" customHeight="1">
      <c r="B345" s="4"/>
      <c r="C345" s="4"/>
      <c r="D345" s="4"/>
      <c r="E345" s="4"/>
    </row>
    <row r="346" ht="15.75" customHeight="1">
      <c r="B346" s="4"/>
      <c r="C346" s="4"/>
      <c r="D346" s="4"/>
      <c r="E346" s="4"/>
    </row>
    <row r="347" ht="15.75" customHeight="1">
      <c r="B347" s="4"/>
      <c r="C347" s="4"/>
      <c r="D347" s="4"/>
      <c r="E347" s="4"/>
    </row>
    <row r="348" ht="15.75" customHeight="1">
      <c r="B348" s="4"/>
      <c r="C348" s="4"/>
      <c r="D348" s="4"/>
      <c r="E348" s="4"/>
    </row>
    <row r="349" ht="15.75" customHeight="1">
      <c r="B349" s="4"/>
      <c r="C349" s="4"/>
      <c r="D349" s="4"/>
      <c r="E349" s="4"/>
    </row>
    <row r="350" ht="15.75" customHeight="1">
      <c r="B350" s="4"/>
      <c r="C350" s="4"/>
      <c r="D350" s="4"/>
      <c r="E350" s="4"/>
    </row>
    <row r="351" ht="15.75" customHeight="1">
      <c r="B351" s="4"/>
      <c r="C351" s="4"/>
      <c r="D351" s="4"/>
      <c r="E351" s="4"/>
    </row>
    <row r="352" ht="15.75" customHeight="1">
      <c r="B352" s="4"/>
      <c r="C352" s="4"/>
      <c r="D352" s="4"/>
      <c r="E352" s="4"/>
    </row>
    <row r="353" ht="15.75" customHeight="1">
      <c r="B353" s="4"/>
      <c r="C353" s="4"/>
      <c r="D353" s="4"/>
      <c r="E353" s="4"/>
    </row>
    <row r="354" ht="15.75" customHeight="1">
      <c r="B354" s="4"/>
      <c r="C354" s="4"/>
      <c r="D354" s="4"/>
      <c r="E354" s="4"/>
    </row>
    <row r="355" ht="15.75" customHeight="1">
      <c r="B355" s="4"/>
      <c r="C355" s="4"/>
      <c r="D355" s="4"/>
      <c r="E355" s="4"/>
    </row>
    <row r="356" ht="15.75" customHeight="1">
      <c r="B356" s="4"/>
      <c r="C356" s="4"/>
      <c r="D356" s="4"/>
      <c r="E356" s="4"/>
    </row>
    <row r="357" ht="15.75" customHeight="1">
      <c r="B357" s="4"/>
      <c r="C357" s="4"/>
      <c r="D357" s="4"/>
      <c r="E357" s="4"/>
    </row>
    <row r="358" ht="15.75" customHeight="1">
      <c r="B358" s="4"/>
      <c r="C358" s="4"/>
      <c r="D358" s="4"/>
      <c r="E358" s="4"/>
    </row>
    <row r="359" ht="15.75" customHeight="1">
      <c r="B359" s="4"/>
      <c r="C359" s="4"/>
      <c r="D359" s="4"/>
      <c r="E359" s="4"/>
    </row>
    <row r="360" ht="15.75" customHeight="1">
      <c r="B360" s="4"/>
      <c r="C360" s="4"/>
      <c r="D360" s="4"/>
      <c r="E360" s="4"/>
    </row>
    <row r="361" ht="15.75" customHeight="1">
      <c r="B361" s="4"/>
      <c r="C361" s="4"/>
      <c r="D361" s="4"/>
      <c r="E361" s="4"/>
    </row>
    <row r="362" ht="15.75" customHeight="1">
      <c r="B362" s="4"/>
      <c r="C362" s="4"/>
      <c r="D362" s="4"/>
      <c r="E362" s="4"/>
    </row>
    <row r="363" ht="15.75" customHeight="1">
      <c r="B363" s="4"/>
      <c r="C363" s="4"/>
      <c r="D363" s="4"/>
      <c r="E363" s="4"/>
    </row>
    <row r="364" ht="15.75" customHeight="1">
      <c r="B364" s="4"/>
      <c r="C364" s="4"/>
      <c r="D364" s="4"/>
      <c r="E364" s="4"/>
    </row>
    <row r="365" ht="15.75" customHeight="1">
      <c r="B365" s="4"/>
      <c r="C365" s="4"/>
      <c r="D365" s="4"/>
      <c r="E365" s="4"/>
    </row>
    <row r="366" ht="15.75" customHeight="1">
      <c r="B366" s="4"/>
      <c r="C366" s="4"/>
      <c r="D366" s="4"/>
      <c r="E366" s="4"/>
    </row>
    <row r="367" ht="15.75" customHeight="1">
      <c r="B367" s="4"/>
      <c r="C367" s="4"/>
      <c r="D367" s="4"/>
      <c r="E367" s="4"/>
    </row>
    <row r="368" ht="15.75" customHeight="1">
      <c r="B368" s="4"/>
      <c r="C368" s="4"/>
      <c r="D368" s="4"/>
      <c r="E368" s="4"/>
    </row>
    <row r="369" ht="15.75" customHeight="1">
      <c r="B369" s="4"/>
      <c r="C369" s="4"/>
      <c r="D369" s="4"/>
      <c r="E369" s="4"/>
    </row>
    <row r="370" ht="15.75" customHeight="1">
      <c r="B370" s="4"/>
      <c r="C370" s="4"/>
      <c r="D370" s="4"/>
      <c r="E370" s="4"/>
    </row>
    <row r="371" ht="15.75" customHeight="1">
      <c r="B371" s="4"/>
      <c r="C371" s="4"/>
      <c r="D371" s="4"/>
      <c r="E371" s="4"/>
    </row>
    <row r="372" ht="15.75" customHeight="1">
      <c r="B372" s="4"/>
      <c r="C372" s="4"/>
      <c r="D372" s="4"/>
      <c r="E372" s="4"/>
    </row>
    <row r="373" ht="15.75" customHeight="1">
      <c r="B373" s="4"/>
      <c r="C373" s="4"/>
      <c r="D373" s="4"/>
      <c r="E373" s="4"/>
    </row>
    <row r="374" ht="15.75" customHeight="1">
      <c r="B374" s="4"/>
      <c r="C374" s="4"/>
      <c r="D374" s="4"/>
      <c r="E374" s="4"/>
    </row>
    <row r="375" ht="15.75" customHeight="1">
      <c r="B375" s="4"/>
      <c r="C375" s="4"/>
      <c r="D375" s="4"/>
      <c r="E375" s="4"/>
    </row>
    <row r="376" ht="15.75" customHeight="1">
      <c r="B376" s="4"/>
      <c r="C376" s="4"/>
      <c r="D376" s="4"/>
      <c r="E376" s="4"/>
    </row>
    <row r="377" ht="15.75" customHeight="1">
      <c r="B377" s="4"/>
      <c r="C377" s="4"/>
      <c r="D377" s="4"/>
      <c r="E377" s="4"/>
    </row>
    <row r="378" ht="15.75" customHeight="1">
      <c r="B378" s="4"/>
      <c r="C378" s="4"/>
      <c r="D378" s="4"/>
      <c r="E378" s="4"/>
    </row>
    <row r="379" ht="15.75" customHeight="1">
      <c r="B379" s="4"/>
      <c r="C379" s="4"/>
      <c r="D379" s="4"/>
      <c r="E379" s="4"/>
    </row>
    <row r="380" ht="15.75" customHeight="1">
      <c r="B380" s="4"/>
      <c r="C380" s="4"/>
      <c r="D380" s="4"/>
      <c r="E380" s="4"/>
    </row>
    <row r="381" ht="15.75" customHeight="1">
      <c r="B381" s="4"/>
      <c r="C381" s="4"/>
      <c r="D381" s="4"/>
      <c r="E381" s="4"/>
    </row>
    <row r="382" ht="15.75" customHeight="1">
      <c r="B382" s="4"/>
      <c r="C382" s="4"/>
      <c r="D382" s="4"/>
      <c r="E382" s="4"/>
    </row>
    <row r="383" ht="15.75" customHeight="1">
      <c r="B383" s="4"/>
      <c r="C383" s="4"/>
      <c r="D383" s="4"/>
      <c r="E383" s="4"/>
    </row>
    <row r="384" ht="15.75" customHeight="1">
      <c r="B384" s="4"/>
      <c r="C384" s="4"/>
      <c r="D384" s="4"/>
      <c r="E384" s="4"/>
    </row>
    <row r="385" ht="15.75" customHeight="1">
      <c r="B385" s="4"/>
      <c r="C385" s="4"/>
      <c r="D385" s="4"/>
      <c r="E385" s="4"/>
    </row>
    <row r="386" ht="15.75" customHeight="1">
      <c r="B386" s="4"/>
      <c r="C386" s="4"/>
      <c r="D386" s="4"/>
      <c r="E386" s="4"/>
    </row>
    <row r="387" ht="15.75" customHeight="1">
      <c r="B387" s="4"/>
      <c r="C387" s="4"/>
      <c r="D387" s="4"/>
      <c r="E387" s="4"/>
    </row>
    <row r="388" ht="15.75" customHeight="1">
      <c r="B388" s="4"/>
      <c r="C388" s="4"/>
      <c r="D388" s="4"/>
      <c r="E388" s="4"/>
    </row>
    <row r="389" ht="15.75" customHeight="1">
      <c r="B389" s="4"/>
      <c r="C389" s="4"/>
      <c r="D389" s="4"/>
      <c r="E389" s="4"/>
    </row>
    <row r="390" ht="15.75" customHeight="1">
      <c r="B390" s="4"/>
      <c r="C390" s="4"/>
      <c r="D390" s="4"/>
      <c r="E390" s="4"/>
    </row>
    <row r="391" ht="15.75" customHeight="1">
      <c r="B391" s="4"/>
      <c r="C391" s="4"/>
      <c r="D391" s="4"/>
      <c r="E391" s="4"/>
    </row>
    <row r="392" ht="15.75" customHeight="1">
      <c r="B392" s="4"/>
      <c r="C392" s="4"/>
      <c r="D392" s="4"/>
      <c r="E392" s="4"/>
    </row>
    <row r="393" ht="15.75" customHeight="1">
      <c r="B393" s="4"/>
      <c r="C393" s="4"/>
      <c r="D393" s="4"/>
      <c r="E393" s="4"/>
    </row>
    <row r="394" ht="15.75" customHeight="1">
      <c r="B394" s="4"/>
      <c r="C394" s="4"/>
      <c r="D394" s="4"/>
      <c r="E394" s="4"/>
    </row>
    <row r="395" ht="15.75" customHeight="1">
      <c r="B395" s="4"/>
      <c r="C395" s="4"/>
      <c r="D395" s="4"/>
      <c r="E395" s="4"/>
    </row>
    <row r="396" ht="15.75" customHeight="1">
      <c r="B396" s="4"/>
      <c r="C396" s="4"/>
      <c r="D396" s="4"/>
      <c r="E396" s="4"/>
    </row>
    <row r="397" ht="15.75" customHeight="1">
      <c r="B397" s="4"/>
      <c r="C397" s="4"/>
      <c r="D397" s="4"/>
      <c r="E397" s="4"/>
    </row>
    <row r="398" ht="15.75" customHeight="1">
      <c r="B398" s="4"/>
      <c r="C398" s="4"/>
      <c r="D398" s="4"/>
      <c r="E398" s="4"/>
    </row>
    <row r="399" ht="15.75" customHeight="1">
      <c r="B399" s="4"/>
      <c r="C399" s="4"/>
      <c r="D399" s="4"/>
      <c r="E399" s="4"/>
    </row>
    <row r="400" ht="15.75" customHeight="1">
      <c r="B400" s="4"/>
      <c r="C400" s="4"/>
      <c r="D400" s="4"/>
      <c r="E400" s="4"/>
    </row>
    <row r="401" ht="15.75" customHeight="1">
      <c r="B401" s="4"/>
      <c r="C401" s="4"/>
      <c r="D401" s="4"/>
      <c r="E401" s="4"/>
    </row>
    <row r="402" ht="15.75" customHeight="1">
      <c r="B402" s="4"/>
      <c r="C402" s="4"/>
      <c r="D402" s="4"/>
      <c r="E402" s="4"/>
    </row>
    <row r="403" ht="15.75" customHeight="1">
      <c r="B403" s="4"/>
      <c r="C403" s="4"/>
      <c r="D403" s="4"/>
      <c r="E403" s="4"/>
    </row>
    <row r="404" ht="15.75" customHeight="1">
      <c r="B404" s="4"/>
      <c r="C404" s="4"/>
      <c r="D404" s="4"/>
      <c r="E404" s="4"/>
    </row>
    <row r="405" ht="15.75" customHeight="1">
      <c r="B405" s="4"/>
      <c r="C405" s="4"/>
      <c r="D405" s="4"/>
      <c r="E405" s="4"/>
    </row>
    <row r="406" ht="15.75" customHeight="1">
      <c r="B406" s="4"/>
      <c r="C406" s="4"/>
      <c r="D406" s="4"/>
      <c r="E406" s="4"/>
    </row>
    <row r="407" ht="15.75" customHeight="1">
      <c r="B407" s="4"/>
      <c r="C407" s="4"/>
      <c r="D407" s="4"/>
      <c r="E407" s="4"/>
    </row>
    <row r="408" ht="15.75" customHeight="1">
      <c r="B408" s="4"/>
      <c r="C408" s="4"/>
      <c r="D408" s="4"/>
      <c r="E408" s="4"/>
    </row>
    <row r="409" ht="15.75" customHeight="1">
      <c r="B409" s="4"/>
      <c r="C409" s="4"/>
      <c r="D409" s="4"/>
      <c r="E409" s="4"/>
    </row>
    <row r="410" ht="15.75" customHeight="1">
      <c r="B410" s="4"/>
      <c r="C410" s="4"/>
      <c r="D410" s="4"/>
      <c r="E410" s="4"/>
    </row>
    <row r="411" ht="15.75" customHeight="1">
      <c r="B411" s="4"/>
      <c r="C411" s="4"/>
      <c r="D411" s="4"/>
      <c r="E411" s="4"/>
    </row>
    <row r="412" ht="15.75" customHeight="1">
      <c r="B412" s="4"/>
      <c r="C412" s="4"/>
      <c r="D412" s="4"/>
      <c r="E412" s="4"/>
    </row>
    <row r="413" ht="15.75" customHeight="1">
      <c r="B413" s="4"/>
      <c r="C413" s="4"/>
      <c r="D413" s="4"/>
      <c r="E413" s="4"/>
    </row>
    <row r="414" ht="15.75" customHeight="1">
      <c r="B414" s="4"/>
      <c r="C414" s="4"/>
      <c r="D414" s="4"/>
      <c r="E414" s="4"/>
    </row>
    <row r="415" ht="15.75" customHeight="1">
      <c r="B415" s="4"/>
      <c r="C415" s="4"/>
      <c r="D415" s="4"/>
      <c r="E415" s="4"/>
    </row>
    <row r="416" ht="15.75" customHeight="1">
      <c r="B416" s="4"/>
      <c r="C416" s="4"/>
      <c r="D416" s="4"/>
      <c r="E416" s="4"/>
    </row>
    <row r="417" ht="15.75" customHeight="1">
      <c r="B417" s="4"/>
      <c r="C417" s="4"/>
      <c r="D417" s="4"/>
      <c r="E417" s="4"/>
    </row>
    <row r="418" ht="15.75" customHeight="1">
      <c r="B418" s="4"/>
      <c r="C418" s="4"/>
      <c r="D418" s="4"/>
      <c r="E418" s="4"/>
    </row>
    <row r="419" ht="15.75" customHeight="1">
      <c r="B419" s="4"/>
      <c r="C419" s="4"/>
      <c r="D419" s="4"/>
      <c r="E419" s="4"/>
    </row>
    <row r="420" ht="15.75" customHeight="1">
      <c r="B420" s="4"/>
      <c r="C420" s="4"/>
      <c r="D420" s="4"/>
      <c r="E420" s="4"/>
    </row>
    <row r="421" ht="15.75" customHeight="1">
      <c r="B421" s="4"/>
      <c r="C421" s="4"/>
      <c r="D421" s="4"/>
      <c r="E421" s="4"/>
    </row>
    <row r="422" ht="15.75" customHeight="1">
      <c r="B422" s="4"/>
      <c r="C422" s="4"/>
      <c r="D422" s="4"/>
      <c r="E422" s="4"/>
    </row>
    <row r="423" ht="15.75" customHeight="1">
      <c r="B423" s="4"/>
      <c r="C423" s="4"/>
      <c r="D423" s="4"/>
      <c r="E423" s="4"/>
    </row>
    <row r="424" ht="15.75" customHeight="1">
      <c r="B424" s="4"/>
      <c r="C424" s="4"/>
      <c r="D424" s="4"/>
      <c r="E424" s="4"/>
    </row>
    <row r="425" ht="15.75" customHeight="1">
      <c r="B425" s="4"/>
      <c r="C425" s="4"/>
      <c r="D425" s="4"/>
      <c r="E425" s="4"/>
    </row>
    <row r="426" ht="15.75" customHeight="1">
      <c r="B426" s="4"/>
      <c r="C426" s="4"/>
      <c r="D426" s="4"/>
      <c r="E426" s="4"/>
    </row>
    <row r="427" ht="15.75" customHeight="1">
      <c r="B427" s="4"/>
      <c r="C427" s="4"/>
      <c r="D427" s="4"/>
      <c r="E427" s="4"/>
    </row>
    <row r="428" ht="15.75" customHeight="1">
      <c r="B428" s="4"/>
      <c r="C428" s="4"/>
      <c r="D428" s="4"/>
      <c r="E428" s="4"/>
    </row>
    <row r="429" ht="15.75" customHeight="1">
      <c r="B429" s="4"/>
      <c r="C429" s="4"/>
      <c r="D429" s="4"/>
      <c r="E429" s="4"/>
    </row>
    <row r="430" ht="15.75" customHeight="1">
      <c r="B430" s="4"/>
      <c r="C430" s="4"/>
      <c r="D430" s="4"/>
      <c r="E430" s="4"/>
    </row>
    <row r="431" ht="15.75" customHeight="1">
      <c r="B431" s="4"/>
      <c r="C431" s="4"/>
      <c r="D431" s="4"/>
      <c r="E431" s="4"/>
    </row>
    <row r="432" ht="15.75" customHeight="1">
      <c r="B432" s="4"/>
      <c r="C432" s="4"/>
      <c r="D432" s="4"/>
      <c r="E432" s="4"/>
    </row>
    <row r="433" ht="15.75" customHeight="1">
      <c r="B433" s="4"/>
      <c r="C433" s="4"/>
      <c r="D433" s="4"/>
      <c r="E433" s="4"/>
    </row>
    <row r="434" ht="15.75" customHeight="1">
      <c r="B434" s="4"/>
      <c r="C434" s="4"/>
      <c r="D434" s="4"/>
      <c r="E434" s="4"/>
    </row>
    <row r="435" ht="15.75" customHeight="1">
      <c r="B435" s="4"/>
      <c r="C435" s="4"/>
      <c r="D435" s="4"/>
      <c r="E435" s="4"/>
    </row>
    <row r="436" ht="15.75" customHeight="1">
      <c r="B436" s="4"/>
      <c r="C436" s="4"/>
      <c r="D436" s="4"/>
      <c r="E436" s="4"/>
    </row>
    <row r="437" ht="15.75" customHeight="1">
      <c r="B437" s="4"/>
      <c r="C437" s="4"/>
      <c r="D437" s="4"/>
      <c r="E437" s="4"/>
    </row>
    <row r="438" ht="15.75" customHeight="1">
      <c r="B438" s="4"/>
      <c r="C438" s="4"/>
      <c r="D438" s="4"/>
      <c r="E438" s="4"/>
    </row>
    <row r="439" ht="15.75" customHeight="1">
      <c r="B439" s="4"/>
      <c r="C439" s="4"/>
      <c r="D439" s="4"/>
      <c r="E439" s="4"/>
    </row>
    <row r="440" ht="15.75" customHeight="1">
      <c r="B440" s="4"/>
      <c r="C440" s="4"/>
      <c r="D440" s="4"/>
      <c r="E440" s="4"/>
    </row>
    <row r="441" ht="15.75" customHeight="1">
      <c r="B441" s="4"/>
      <c r="C441" s="4"/>
      <c r="D441" s="4"/>
      <c r="E441" s="4"/>
    </row>
    <row r="442" ht="15.75" customHeight="1">
      <c r="B442" s="4"/>
      <c r="C442" s="4"/>
      <c r="D442" s="4"/>
      <c r="E442" s="4"/>
    </row>
    <row r="443" ht="15.75" customHeight="1">
      <c r="B443" s="4"/>
      <c r="C443" s="4"/>
      <c r="D443" s="4"/>
      <c r="E443" s="4"/>
    </row>
    <row r="444" ht="15.75" customHeight="1">
      <c r="B444" s="4"/>
      <c r="C444" s="4"/>
      <c r="D444" s="4"/>
      <c r="E444" s="4"/>
    </row>
    <row r="445" ht="15.75" customHeight="1">
      <c r="B445" s="4"/>
      <c r="C445" s="4"/>
      <c r="D445" s="4"/>
      <c r="E445" s="4"/>
    </row>
    <row r="446" ht="15.75" customHeight="1">
      <c r="B446" s="4"/>
      <c r="C446" s="4"/>
      <c r="D446" s="4"/>
      <c r="E446" s="4"/>
    </row>
    <row r="447" ht="15.75" customHeight="1">
      <c r="B447" s="4"/>
      <c r="C447" s="4"/>
      <c r="D447" s="4"/>
      <c r="E447" s="4"/>
    </row>
    <row r="448" ht="15.75" customHeight="1">
      <c r="B448" s="4"/>
      <c r="C448" s="4"/>
      <c r="D448" s="4"/>
      <c r="E448" s="4"/>
    </row>
    <row r="449" ht="15.75" customHeight="1">
      <c r="B449" s="4"/>
      <c r="C449" s="4"/>
      <c r="D449" s="4"/>
      <c r="E449" s="4"/>
    </row>
    <row r="450" ht="15.75" customHeight="1">
      <c r="B450" s="4"/>
      <c r="C450" s="4"/>
      <c r="D450" s="4"/>
      <c r="E450" s="4"/>
    </row>
    <row r="451" ht="15.75" customHeight="1">
      <c r="B451" s="4"/>
      <c r="C451" s="4"/>
      <c r="D451" s="4"/>
      <c r="E451" s="4"/>
    </row>
    <row r="452" ht="15.75" customHeight="1">
      <c r="B452" s="4"/>
      <c r="C452" s="4"/>
      <c r="D452" s="4"/>
      <c r="E452" s="4"/>
    </row>
    <row r="453" ht="15.75" customHeight="1">
      <c r="B453" s="4"/>
      <c r="C453" s="4"/>
      <c r="D453" s="4"/>
      <c r="E453" s="4"/>
    </row>
    <row r="454" ht="15.75" customHeight="1">
      <c r="B454" s="4"/>
      <c r="C454" s="4"/>
      <c r="D454" s="4"/>
      <c r="E454" s="4"/>
    </row>
    <row r="455" ht="15.75" customHeight="1">
      <c r="B455" s="4"/>
      <c r="C455" s="4"/>
      <c r="D455" s="4"/>
      <c r="E455" s="4"/>
    </row>
    <row r="456" ht="15.75" customHeight="1">
      <c r="B456" s="4"/>
      <c r="C456" s="4"/>
      <c r="D456" s="4"/>
      <c r="E456" s="4"/>
    </row>
    <row r="457" ht="15.75" customHeight="1">
      <c r="B457" s="4"/>
      <c r="C457" s="4"/>
      <c r="D457" s="4"/>
      <c r="E457" s="4"/>
    </row>
    <row r="458" ht="15.75" customHeight="1">
      <c r="B458" s="4"/>
      <c r="C458" s="4"/>
      <c r="D458" s="4"/>
      <c r="E458" s="4"/>
    </row>
    <row r="459" ht="15.75" customHeight="1">
      <c r="B459" s="4"/>
      <c r="C459" s="4"/>
      <c r="D459" s="4"/>
      <c r="E459" s="4"/>
    </row>
    <row r="460" ht="15.75" customHeight="1">
      <c r="B460" s="4"/>
      <c r="C460" s="4"/>
      <c r="D460" s="4"/>
      <c r="E460" s="4"/>
    </row>
    <row r="461" ht="15.75" customHeight="1">
      <c r="B461" s="4"/>
      <c r="C461" s="4"/>
      <c r="D461" s="4"/>
      <c r="E461" s="4"/>
    </row>
    <row r="462" ht="15.75" customHeight="1">
      <c r="B462" s="4"/>
      <c r="C462" s="4"/>
      <c r="D462" s="4"/>
      <c r="E462" s="4"/>
    </row>
    <row r="463" ht="15.75" customHeight="1">
      <c r="B463" s="4"/>
      <c r="C463" s="4"/>
      <c r="D463" s="4"/>
      <c r="E463" s="4"/>
    </row>
    <row r="464" ht="15.75" customHeight="1">
      <c r="B464" s="4"/>
      <c r="C464" s="4"/>
      <c r="D464" s="4"/>
      <c r="E464" s="4"/>
    </row>
    <row r="465" ht="15.75" customHeight="1">
      <c r="B465" s="4"/>
      <c r="C465" s="4"/>
      <c r="D465" s="4"/>
      <c r="E465" s="4"/>
    </row>
    <row r="466" ht="15.75" customHeight="1">
      <c r="B466" s="4"/>
      <c r="C466" s="4"/>
      <c r="D466" s="4"/>
      <c r="E466" s="4"/>
    </row>
    <row r="467" ht="15.75" customHeight="1">
      <c r="B467" s="4"/>
      <c r="C467" s="4"/>
      <c r="D467" s="4"/>
      <c r="E467" s="4"/>
    </row>
    <row r="468" ht="15.75" customHeight="1">
      <c r="B468" s="4"/>
      <c r="C468" s="4"/>
      <c r="D468" s="4"/>
      <c r="E468" s="4"/>
    </row>
    <row r="469" ht="15.75" customHeight="1">
      <c r="B469" s="4"/>
      <c r="C469" s="4"/>
      <c r="D469" s="4"/>
      <c r="E469" s="4"/>
    </row>
    <row r="470" ht="15.75" customHeight="1">
      <c r="B470" s="4"/>
      <c r="C470" s="4"/>
      <c r="D470" s="4"/>
      <c r="E470" s="4"/>
    </row>
    <row r="471" ht="15.75" customHeight="1">
      <c r="B471" s="4"/>
      <c r="C471" s="4"/>
      <c r="D471" s="4"/>
      <c r="E471" s="4"/>
    </row>
    <row r="472" ht="15.75" customHeight="1">
      <c r="B472" s="4"/>
      <c r="C472" s="4"/>
      <c r="D472" s="4"/>
      <c r="E472" s="4"/>
    </row>
    <row r="473" ht="15.75" customHeight="1">
      <c r="B473" s="4"/>
      <c r="C473" s="4"/>
      <c r="D473" s="4"/>
      <c r="E473" s="4"/>
    </row>
    <row r="474" ht="15.75" customHeight="1">
      <c r="B474" s="4"/>
      <c r="C474" s="4"/>
      <c r="D474" s="4"/>
      <c r="E474" s="4"/>
    </row>
    <row r="475" ht="15.75" customHeight="1">
      <c r="B475" s="4"/>
      <c r="C475" s="4"/>
      <c r="D475" s="4"/>
      <c r="E475" s="4"/>
    </row>
    <row r="476" ht="15.75" customHeight="1">
      <c r="B476" s="4"/>
      <c r="C476" s="4"/>
      <c r="D476" s="4"/>
      <c r="E476" s="4"/>
    </row>
    <row r="477" ht="15.75" customHeight="1">
      <c r="B477" s="4"/>
      <c r="C477" s="4"/>
      <c r="D477" s="4"/>
      <c r="E477" s="4"/>
    </row>
    <row r="478" ht="15.75" customHeight="1">
      <c r="B478" s="4"/>
      <c r="C478" s="4"/>
      <c r="D478" s="4"/>
      <c r="E478" s="4"/>
    </row>
    <row r="479" ht="15.75" customHeight="1">
      <c r="B479" s="4"/>
      <c r="C479" s="4"/>
      <c r="D479" s="4"/>
      <c r="E479" s="4"/>
    </row>
    <row r="480" ht="15.75" customHeight="1">
      <c r="B480" s="4"/>
      <c r="C480" s="4"/>
      <c r="D480" s="4"/>
      <c r="E480" s="4"/>
    </row>
    <row r="481" ht="15.75" customHeight="1">
      <c r="B481" s="4"/>
      <c r="C481" s="4"/>
      <c r="D481" s="4"/>
      <c r="E481" s="4"/>
    </row>
    <row r="482" ht="15.75" customHeight="1">
      <c r="B482" s="4"/>
      <c r="C482" s="4"/>
      <c r="D482" s="4"/>
      <c r="E482" s="4"/>
    </row>
    <row r="483" ht="15.75" customHeight="1">
      <c r="B483" s="4"/>
      <c r="C483" s="4"/>
      <c r="D483" s="4"/>
      <c r="E483" s="4"/>
    </row>
    <row r="484" ht="15.75" customHeight="1">
      <c r="B484" s="4"/>
      <c r="C484" s="4"/>
      <c r="D484" s="4"/>
      <c r="E484" s="4"/>
    </row>
    <row r="485" ht="15.75" customHeight="1">
      <c r="B485" s="4"/>
      <c r="C485" s="4"/>
      <c r="D485" s="4"/>
      <c r="E485" s="4"/>
    </row>
    <row r="486" ht="15.75" customHeight="1">
      <c r="B486" s="4"/>
      <c r="C486" s="4"/>
      <c r="D486" s="4"/>
      <c r="E486" s="4"/>
    </row>
    <row r="487" ht="15.75" customHeight="1">
      <c r="B487" s="4"/>
      <c r="C487" s="4"/>
      <c r="D487" s="4"/>
      <c r="E487" s="4"/>
    </row>
    <row r="488" ht="15.75" customHeight="1">
      <c r="B488" s="4"/>
      <c r="C488" s="4"/>
      <c r="D488" s="4"/>
      <c r="E488" s="4"/>
    </row>
    <row r="489" ht="15.75" customHeight="1">
      <c r="B489" s="4"/>
      <c r="C489" s="4"/>
      <c r="D489" s="4"/>
      <c r="E489" s="4"/>
    </row>
    <row r="490" ht="15.75" customHeight="1">
      <c r="B490" s="4"/>
      <c r="C490" s="4"/>
      <c r="D490" s="4"/>
      <c r="E490" s="4"/>
    </row>
    <row r="491" ht="15.75" customHeight="1">
      <c r="B491" s="4"/>
      <c r="C491" s="4"/>
      <c r="D491" s="4"/>
      <c r="E491" s="4"/>
    </row>
    <row r="492" ht="15.75" customHeight="1">
      <c r="B492" s="4"/>
      <c r="C492" s="4"/>
      <c r="D492" s="4"/>
      <c r="E492" s="4"/>
    </row>
    <row r="493" ht="15.75" customHeight="1">
      <c r="B493" s="4"/>
      <c r="C493" s="4"/>
      <c r="D493" s="4"/>
      <c r="E493" s="4"/>
    </row>
    <row r="494" ht="15.75" customHeight="1">
      <c r="B494" s="4"/>
      <c r="C494" s="4"/>
      <c r="D494" s="4"/>
      <c r="E494" s="4"/>
    </row>
    <row r="495" ht="15.75" customHeight="1">
      <c r="B495" s="4"/>
      <c r="C495" s="4"/>
      <c r="D495" s="4"/>
      <c r="E495" s="4"/>
    </row>
    <row r="496" ht="15.75" customHeight="1">
      <c r="B496" s="4"/>
      <c r="C496" s="4"/>
      <c r="D496" s="4"/>
      <c r="E496" s="4"/>
    </row>
    <row r="497" ht="15.75" customHeight="1">
      <c r="B497" s="4"/>
      <c r="C497" s="4"/>
      <c r="D497" s="4"/>
      <c r="E497" s="4"/>
    </row>
    <row r="498" ht="15.75" customHeight="1">
      <c r="B498" s="4"/>
      <c r="C498" s="4"/>
      <c r="D498" s="4"/>
      <c r="E498" s="4"/>
    </row>
    <row r="499" ht="15.75" customHeight="1">
      <c r="B499" s="4"/>
      <c r="C499" s="4"/>
      <c r="D499" s="4"/>
      <c r="E499" s="4"/>
    </row>
    <row r="500" ht="15.75" customHeight="1">
      <c r="B500" s="4"/>
      <c r="C500" s="4"/>
      <c r="D500" s="4"/>
      <c r="E500" s="4"/>
    </row>
    <row r="501" ht="15.75" customHeight="1">
      <c r="B501" s="4"/>
      <c r="C501" s="4"/>
      <c r="D501" s="4"/>
      <c r="E501" s="4"/>
    </row>
    <row r="502" ht="15.75" customHeight="1">
      <c r="B502" s="4"/>
      <c r="C502" s="4"/>
      <c r="D502" s="4"/>
      <c r="E502" s="4"/>
    </row>
    <row r="503" ht="15.75" customHeight="1">
      <c r="B503" s="4"/>
      <c r="C503" s="4"/>
      <c r="D503" s="4"/>
      <c r="E503" s="4"/>
    </row>
    <row r="504" ht="15.75" customHeight="1">
      <c r="B504" s="4"/>
      <c r="C504" s="4"/>
      <c r="D504" s="4"/>
      <c r="E504" s="4"/>
    </row>
    <row r="505" ht="15.75" customHeight="1">
      <c r="B505" s="4"/>
      <c r="C505" s="4"/>
      <c r="D505" s="4"/>
      <c r="E505" s="4"/>
    </row>
    <row r="506" ht="15.75" customHeight="1">
      <c r="B506" s="4"/>
      <c r="C506" s="4"/>
      <c r="D506" s="4"/>
      <c r="E506" s="4"/>
    </row>
    <row r="507" ht="15.75" customHeight="1">
      <c r="B507" s="4"/>
      <c r="C507" s="4"/>
      <c r="D507" s="4"/>
      <c r="E507" s="4"/>
    </row>
    <row r="508" ht="15.75" customHeight="1">
      <c r="B508" s="4"/>
      <c r="C508" s="4"/>
      <c r="D508" s="4"/>
      <c r="E508" s="4"/>
    </row>
    <row r="509" ht="15.75" customHeight="1">
      <c r="B509" s="4"/>
      <c r="C509" s="4"/>
      <c r="D509" s="4"/>
      <c r="E509" s="4"/>
    </row>
    <row r="510" ht="15.75" customHeight="1">
      <c r="B510" s="4"/>
      <c r="C510" s="4"/>
      <c r="D510" s="4"/>
      <c r="E510" s="4"/>
    </row>
    <row r="511" ht="15.75" customHeight="1">
      <c r="B511" s="4"/>
      <c r="C511" s="4"/>
      <c r="D511" s="4"/>
      <c r="E511" s="4"/>
    </row>
    <row r="512" ht="15.75" customHeight="1">
      <c r="B512" s="4"/>
      <c r="C512" s="4"/>
      <c r="D512" s="4"/>
      <c r="E512" s="4"/>
    </row>
    <row r="513" ht="15.75" customHeight="1">
      <c r="B513" s="4"/>
      <c r="C513" s="4"/>
      <c r="D513" s="4"/>
      <c r="E513" s="4"/>
    </row>
    <row r="514" ht="15.75" customHeight="1">
      <c r="B514" s="4"/>
      <c r="C514" s="4"/>
      <c r="D514" s="4"/>
      <c r="E514" s="4"/>
    </row>
    <row r="515" ht="15.75" customHeight="1">
      <c r="B515" s="4"/>
      <c r="C515" s="4"/>
      <c r="D515" s="4"/>
      <c r="E515" s="4"/>
    </row>
    <row r="516" ht="15.75" customHeight="1">
      <c r="B516" s="4"/>
      <c r="C516" s="4"/>
      <c r="D516" s="4"/>
      <c r="E516" s="4"/>
    </row>
    <row r="517" ht="15.75" customHeight="1">
      <c r="B517" s="4"/>
      <c r="C517" s="4"/>
      <c r="D517" s="4"/>
      <c r="E517" s="4"/>
    </row>
    <row r="518" ht="15.75" customHeight="1">
      <c r="B518" s="4"/>
      <c r="C518" s="4"/>
      <c r="D518" s="4"/>
      <c r="E518" s="4"/>
    </row>
    <row r="519" ht="15.75" customHeight="1">
      <c r="B519" s="4"/>
      <c r="C519" s="4"/>
      <c r="D519" s="4"/>
      <c r="E519" s="4"/>
    </row>
    <row r="520" ht="15.75" customHeight="1">
      <c r="B520" s="4"/>
      <c r="C520" s="4"/>
      <c r="D520" s="4"/>
      <c r="E520" s="4"/>
    </row>
    <row r="521" ht="15.75" customHeight="1">
      <c r="B521" s="4"/>
      <c r="C521" s="4"/>
      <c r="D521" s="4"/>
      <c r="E521" s="4"/>
    </row>
    <row r="522" ht="15.75" customHeight="1">
      <c r="B522" s="4"/>
      <c r="C522" s="4"/>
      <c r="D522" s="4"/>
      <c r="E522" s="4"/>
    </row>
    <row r="523" ht="15.75" customHeight="1">
      <c r="B523" s="4"/>
      <c r="C523" s="4"/>
      <c r="D523" s="4"/>
      <c r="E523" s="4"/>
    </row>
    <row r="524" ht="15.75" customHeight="1">
      <c r="B524" s="4"/>
      <c r="C524" s="4"/>
      <c r="D524" s="4"/>
      <c r="E524" s="4"/>
    </row>
    <row r="525" ht="15.75" customHeight="1">
      <c r="B525" s="4"/>
      <c r="C525" s="4"/>
      <c r="D525" s="4"/>
      <c r="E525" s="4"/>
    </row>
    <row r="526" ht="15.75" customHeight="1">
      <c r="B526" s="4"/>
      <c r="C526" s="4"/>
      <c r="D526" s="4"/>
      <c r="E526" s="4"/>
    </row>
    <row r="527" ht="15.75" customHeight="1">
      <c r="B527" s="4"/>
      <c r="C527" s="4"/>
      <c r="D527" s="4"/>
      <c r="E527" s="4"/>
    </row>
    <row r="528" ht="15.75" customHeight="1">
      <c r="B528" s="4"/>
      <c r="C528" s="4"/>
      <c r="D528" s="4"/>
      <c r="E528" s="4"/>
    </row>
    <row r="529" ht="15.75" customHeight="1">
      <c r="B529" s="4"/>
      <c r="C529" s="4"/>
      <c r="D529" s="4"/>
      <c r="E529" s="4"/>
    </row>
    <row r="530" ht="15.75" customHeight="1">
      <c r="B530" s="4"/>
      <c r="C530" s="4"/>
      <c r="D530" s="4"/>
      <c r="E530" s="4"/>
    </row>
    <row r="531" ht="15.75" customHeight="1">
      <c r="B531" s="4"/>
      <c r="C531" s="4"/>
      <c r="D531" s="4"/>
      <c r="E531" s="4"/>
    </row>
    <row r="532" ht="15.75" customHeight="1">
      <c r="B532" s="4"/>
      <c r="C532" s="4"/>
      <c r="D532" s="4"/>
      <c r="E532" s="4"/>
    </row>
    <row r="533" ht="15.75" customHeight="1">
      <c r="B533" s="4"/>
      <c r="C533" s="4"/>
      <c r="D533" s="4"/>
      <c r="E533" s="4"/>
    </row>
    <row r="534" ht="15.75" customHeight="1">
      <c r="B534" s="4"/>
      <c r="C534" s="4"/>
      <c r="D534" s="4"/>
      <c r="E534" s="4"/>
    </row>
    <row r="535" ht="15.75" customHeight="1">
      <c r="B535" s="4"/>
      <c r="C535" s="4"/>
      <c r="D535" s="4"/>
      <c r="E535" s="4"/>
    </row>
    <row r="536" ht="15.75" customHeight="1">
      <c r="B536" s="4"/>
      <c r="C536" s="4"/>
      <c r="D536" s="4"/>
      <c r="E536" s="4"/>
    </row>
    <row r="537" ht="15.75" customHeight="1">
      <c r="B537" s="4"/>
      <c r="C537" s="4"/>
      <c r="D537" s="4"/>
      <c r="E537" s="4"/>
    </row>
    <row r="538" ht="15.75" customHeight="1">
      <c r="B538" s="4"/>
      <c r="C538" s="4"/>
      <c r="D538" s="4"/>
      <c r="E538" s="4"/>
    </row>
    <row r="539" ht="15.75" customHeight="1">
      <c r="B539" s="4"/>
      <c r="C539" s="4"/>
      <c r="D539" s="4"/>
      <c r="E539" s="4"/>
    </row>
    <row r="540" ht="15.75" customHeight="1">
      <c r="B540" s="4"/>
      <c r="C540" s="4"/>
      <c r="D540" s="4"/>
      <c r="E540" s="4"/>
    </row>
    <row r="541" ht="15.75" customHeight="1">
      <c r="B541" s="4"/>
      <c r="C541" s="4"/>
      <c r="D541" s="4"/>
      <c r="E541" s="4"/>
    </row>
    <row r="542" ht="15.75" customHeight="1">
      <c r="B542" s="4"/>
      <c r="C542" s="4"/>
      <c r="D542" s="4"/>
      <c r="E542" s="4"/>
    </row>
    <row r="543" ht="15.75" customHeight="1">
      <c r="B543" s="4"/>
      <c r="C543" s="4"/>
      <c r="D543" s="4"/>
      <c r="E543" s="4"/>
    </row>
    <row r="544" ht="15.75" customHeight="1">
      <c r="B544" s="4"/>
      <c r="C544" s="4"/>
      <c r="D544" s="4"/>
      <c r="E544" s="4"/>
    </row>
    <row r="545" ht="15.75" customHeight="1">
      <c r="B545" s="4"/>
      <c r="C545" s="4"/>
      <c r="D545" s="4"/>
      <c r="E545" s="4"/>
    </row>
    <row r="546" ht="15.75" customHeight="1">
      <c r="B546" s="4"/>
      <c r="C546" s="4"/>
      <c r="D546" s="4"/>
      <c r="E546" s="4"/>
    </row>
    <row r="547" ht="15.75" customHeight="1">
      <c r="B547" s="4"/>
      <c r="C547" s="4"/>
      <c r="D547" s="4"/>
      <c r="E547" s="4"/>
    </row>
    <row r="548" ht="15.75" customHeight="1">
      <c r="B548" s="4"/>
      <c r="C548" s="4"/>
      <c r="D548" s="4"/>
      <c r="E548" s="4"/>
    </row>
    <row r="549" ht="15.75" customHeight="1">
      <c r="B549" s="4"/>
      <c r="C549" s="4"/>
      <c r="D549" s="4"/>
      <c r="E549" s="4"/>
    </row>
    <row r="550" ht="15.75" customHeight="1">
      <c r="B550" s="4"/>
      <c r="C550" s="4"/>
      <c r="D550" s="4"/>
      <c r="E550" s="4"/>
    </row>
    <row r="551" ht="15.75" customHeight="1">
      <c r="B551" s="4"/>
      <c r="C551" s="4"/>
      <c r="D551" s="4"/>
      <c r="E551" s="4"/>
    </row>
    <row r="552" ht="15.75" customHeight="1">
      <c r="B552" s="4"/>
      <c r="C552" s="4"/>
      <c r="D552" s="4"/>
      <c r="E552" s="4"/>
    </row>
    <row r="553" ht="15.75" customHeight="1">
      <c r="B553" s="4"/>
      <c r="C553" s="4"/>
      <c r="D553" s="4"/>
      <c r="E553" s="4"/>
    </row>
    <row r="554" ht="15.75" customHeight="1">
      <c r="B554" s="4"/>
      <c r="C554" s="4"/>
      <c r="D554" s="4"/>
      <c r="E554" s="4"/>
    </row>
    <row r="555" ht="15.75" customHeight="1">
      <c r="B555" s="4"/>
      <c r="C555" s="4"/>
      <c r="D555" s="4"/>
      <c r="E555" s="4"/>
    </row>
    <row r="556" ht="15.75" customHeight="1">
      <c r="B556" s="4"/>
      <c r="C556" s="4"/>
      <c r="D556" s="4"/>
      <c r="E556" s="4"/>
    </row>
    <row r="557" ht="15.75" customHeight="1">
      <c r="B557" s="4"/>
      <c r="C557" s="4"/>
      <c r="D557" s="4"/>
      <c r="E557" s="4"/>
    </row>
    <row r="558" ht="15.75" customHeight="1">
      <c r="B558" s="4"/>
      <c r="C558" s="4"/>
      <c r="D558" s="4"/>
      <c r="E558" s="4"/>
    </row>
    <row r="559" ht="15.75" customHeight="1">
      <c r="B559" s="4"/>
      <c r="C559" s="4"/>
      <c r="D559" s="4"/>
      <c r="E559" s="4"/>
    </row>
    <row r="560" ht="15.75" customHeight="1">
      <c r="B560" s="4"/>
      <c r="C560" s="4"/>
      <c r="D560" s="4"/>
      <c r="E560" s="4"/>
    </row>
    <row r="561" ht="15.75" customHeight="1">
      <c r="B561" s="4"/>
      <c r="C561" s="4"/>
      <c r="D561" s="4"/>
      <c r="E561" s="4"/>
    </row>
    <row r="562" ht="15.75" customHeight="1">
      <c r="B562" s="4"/>
      <c r="C562" s="4"/>
      <c r="D562" s="4"/>
      <c r="E562" s="4"/>
    </row>
    <row r="563" ht="15.75" customHeight="1">
      <c r="B563" s="4"/>
      <c r="C563" s="4"/>
      <c r="D563" s="4"/>
      <c r="E563" s="4"/>
    </row>
    <row r="564" ht="15.75" customHeight="1">
      <c r="B564" s="4"/>
      <c r="C564" s="4"/>
      <c r="D564" s="4"/>
      <c r="E564" s="4"/>
    </row>
    <row r="565" ht="15.75" customHeight="1">
      <c r="B565" s="4"/>
      <c r="C565" s="4"/>
      <c r="D565" s="4"/>
      <c r="E565" s="4"/>
    </row>
    <row r="566" ht="15.75" customHeight="1">
      <c r="B566" s="4"/>
      <c r="C566" s="4"/>
      <c r="D566" s="4"/>
      <c r="E566" s="4"/>
    </row>
    <row r="567" ht="15.75" customHeight="1">
      <c r="B567" s="4"/>
      <c r="C567" s="4"/>
      <c r="D567" s="4"/>
      <c r="E567" s="4"/>
    </row>
    <row r="568" ht="15.75" customHeight="1">
      <c r="B568" s="4"/>
      <c r="C568" s="4"/>
      <c r="D568" s="4"/>
      <c r="E568" s="4"/>
    </row>
    <row r="569" ht="15.75" customHeight="1">
      <c r="B569" s="4"/>
      <c r="C569" s="4"/>
      <c r="D569" s="4"/>
      <c r="E569" s="4"/>
    </row>
    <row r="570" ht="15.75" customHeight="1">
      <c r="B570" s="4"/>
      <c r="C570" s="4"/>
      <c r="D570" s="4"/>
      <c r="E570" s="4"/>
    </row>
    <row r="571" ht="15.75" customHeight="1">
      <c r="B571" s="4"/>
      <c r="C571" s="4"/>
      <c r="D571" s="4"/>
      <c r="E571" s="4"/>
    </row>
    <row r="572" ht="15.75" customHeight="1">
      <c r="B572" s="4"/>
      <c r="C572" s="4"/>
      <c r="D572" s="4"/>
      <c r="E572" s="4"/>
    </row>
    <row r="573" ht="15.75" customHeight="1">
      <c r="B573" s="4"/>
      <c r="C573" s="4"/>
      <c r="D573" s="4"/>
      <c r="E573" s="4"/>
    </row>
    <row r="574" ht="15.75" customHeight="1">
      <c r="B574" s="4"/>
      <c r="C574" s="4"/>
      <c r="D574" s="4"/>
      <c r="E574" s="4"/>
    </row>
    <row r="575" ht="15.75" customHeight="1">
      <c r="B575" s="4"/>
      <c r="C575" s="4"/>
      <c r="D575" s="4"/>
      <c r="E575" s="4"/>
    </row>
    <row r="576" ht="15.75" customHeight="1">
      <c r="B576" s="4"/>
      <c r="C576" s="4"/>
      <c r="D576" s="4"/>
      <c r="E576" s="4"/>
    </row>
    <row r="577" ht="15.75" customHeight="1">
      <c r="B577" s="4"/>
      <c r="C577" s="4"/>
      <c r="D577" s="4"/>
      <c r="E577" s="4"/>
    </row>
    <row r="578" ht="15.75" customHeight="1">
      <c r="B578" s="4"/>
      <c r="C578" s="4"/>
      <c r="D578" s="4"/>
      <c r="E578" s="4"/>
    </row>
    <row r="579" ht="15.75" customHeight="1">
      <c r="B579" s="4"/>
      <c r="C579" s="4"/>
      <c r="D579" s="4"/>
      <c r="E579" s="4"/>
    </row>
    <row r="580" ht="15.75" customHeight="1">
      <c r="B580" s="4"/>
      <c r="C580" s="4"/>
      <c r="D580" s="4"/>
      <c r="E580" s="4"/>
    </row>
    <row r="581" ht="15.75" customHeight="1">
      <c r="B581" s="4"/>
      <c r="C581" s="4"/>
      <c r="D581" s="4"/>
      <c r="E581" s="4"/>
    </row>
    <row r="582" ht="15.75" customHeight="1">
      <c r="B582" s="4"/>
      <c r="C582" s="4"/>
      <c r="D582" s="4"/>
      <c r="E582" s="4"/>
    </row>
    <row r="583" ht="15.75" customHeight="1">
      <c r="B583" s="4"/>
      <c r="C583" s="4"/>
      <c r="D583" s="4"/>
      <c r="E583" s="4"/>
    </row>
    <row r="584" ht="15.75" customHeight="1">
      <c r="B584" s="4"/>
      <c r="C584" s="4"/>
      <c r="D584" s="4"/>
      <c r="E584" s="4"/>
    </row>
    <row r="585" ht="15.75" customHeight="1">
      <c r="B585" s="4"/>
      <c r="C585" s="4"/>
      <c r="D585" s="4"/>
      <c r="E585" s="4"/>
    </row>
    <row r="586" ht="15.75" customHeight="1">
      <c r="B586" s="4"/>
      <c r="C586" s="4"/>
      <c r="D586" s="4"/>
      <c r="E586" s="4"/>
    </row>
    <row r="587" ht="15.75" customHeight="1">
      <c r="B587" s="4"/>
      <c r="C587" s="4"/>
      <c r="D587" s="4"/>
      <c r="E587" s="4"/>
    </row>
    <row r="588" ht="15.75" customHeight="1">
      <c r="B588" s="4"/>
      <c r="C588" s="4"/>
      <c r="D588" s="4"/>
      <c r="E588" s="4"/>
    </row>
    <row r="589" ht="15.75" customHeight="1">
      <c r="B589" s="4"/>
      <c r="C589" s="4"/>
      <c r="D589" s="4"/>
      <c r="E589" s="4"/>
    </row>
    <row r="590" ht="15.75" customHeight="1">
      <c r="B590" s="4"/>
      <c r="C590" s="4"/>
      <c r="D590" s="4"/>
      <c r="E590" s="4"/>
    </row>
    <row r="591" ht="15.75" customHeight="1">
      <c r="B591" s="4"/>
      <c r="C591" s="4"/>
      <c r="D591" s="4"/>
      <c r="E591" s="4"/>
    </row>
    <row r="592" ht="15.75" customHeight="1">
      <c r="B592" s="4"/>
      <c r="C592" s="4"/>
      <c r="D592" s="4"/>
      <c r="E592" s="4"/>
    </row>
    <row r="593" ht="15.75" customHeight="1">
      <c r="B593" s="4"/>
      <c r="C593" s="4"/>
      <c r="D593" s="4"/>
      <c r="E593" s="4"/>
    </row>
    <row r="594" ht="15.75" customHeight="1">
      <c r="B594" s="4"/>
      <c r="C594" s="4"/>
      <c r="D594" s="4"/>
      <c r="E594" s="4"/>
    </row>
    <row r="595" ht="15.75" customHeight="1">
      <c r="B595" s="4"/>
      <c r="C595" s="4"/>
      <c r="D595" s="4"/>
      <c r="E595" s="4"/>
    </row>
    <row r="596" ht="15.75" customHeight="1">
      <c r="B596" s="4"/>
      <c r="C596" s="4"/>
      <c r="D596" s="4"/>
      <c r="E596" s="4"/>
    </row>
    <row r="597" ht="15.75" customHeight="1">
      <c r="B597" s="4"/>
      <c r="C597" s="4"/>
      <c r="D597" s="4"/>
      <c r="E597" s="4"/>
    </row>
    <row r="598" ht="15.75" customHeight="1">
      <c r="B598" s="4"/>
      <c r="C598" s="4"/>
      <c r="D598" s="4"/>
      <c r="E598" s="4"/>
    </row>
    <row r="599" ht="15.75" customHeight="1">
      <c r="B599" s="4"/>
      <c r="C599" s="4"/>
      <c r="D599" s="4"/>
      <c r="E599" s="4"/>
    </row>
    <row r="600" ht="15.75" customHeight="1">
      <c r="B600" s="4"/>
      <c r="C600" s="4"/>
      <c r="D600" s="4"/>
      <c r="E600" s="4"/>
    </row>
    <row r="601" ht="15.75" customHeight="1">
      <c r="B601" s="4"/>
      <c r="C601" s="4"/>
      <c r="D601" s="4"/>
      <c r="E601" s="4"/>
    </row>
    <row r="602" ht="15.75" customHeight="1">
      <c r="B602" s="4"/>
      <c r="C602" s="4"/>
      <c r="D602" s="4"/>
      <c r="E602" s="4"/>
    </row>
    <row r="603" ht="15.75" customHeight="1">
      <c r="B603" s="4"/>
      <c r="C603" s="4"/>
      <c r="D603" s="4"/>
      <c r="E603" s="4"/>
    </row>
    <row r="604" ht="15.75" customHeight="1">
      <c r="B604" s="4"/>
      <c r="C604" s="4"/>
      <c r="D604" s="4"/>
      <c r="E604" s="4"/>
    </row>
    <row r="605" ht="15.75" customHeight="1">
      <c r="B605" s="4"/>
      <c r="C605" s="4"/>
      <c r="D605" s="4"/>
      <c r="E605" s="4"/>
    </row>
    <row r="606" ht="15.75" customHeight="1">
      <c r="B606" s="4"/>
      <c r="C606" s="4"/>
      <c r="D606" s="4"/>
      <c r="E606" s="4"/>
    </row>
    <row r="607" ht="15.75" customHeight="1">
      <c r="B607" s="4"/>
      <c r="C607" s="4"/>
      <c r="D607" s="4"/>
      <c r="E607" s="4"/>
    </row>
    <row r="608" ht="15.75" customHeight="1">
      <c r="B608" s="4"/>
      <c r="C608" s="4"/>
      <c r="D608" s="4"/>
      <c r="E608" s="4"/>
    </row>
    <row r="609" ht="15.75" customHeight="1">
      <c r="B609" s="4"/>
      <c r="C609" s="4"/>
      <c r="D609" s="4"/>
      <c r="E609" s="4"/>
    </row>
    <row r="610" ht="15.75" customHeight="1">
      <c r="B610" s="4"/>
      <c r="C610" s="4"/>
      <c r="D610" s="4"/>
      <c r="E610" s="4"/>
    </row>
    <row r="611" ht="15.75" customHeight="1">
      <c r="B611" s="4"/>
      <c r="C611" s="4"/>
      <c r="D611" s="4"/>
      <c r="E611" s="4"/>
    </row>
    <row r="612" ht="15.75" customHeight="1">
      <c r="B612" s="4"/>
      <c r="C612" s="4"/>
      <c r="D612" s="4"/>
      <c r="E612" s="4"/>
    </row>
    <row r="613" ht="15.75" customHeight="1">
      <c r="B613" s="4"/>
      <c r="C613" s="4"/>
      <c r="D613" s="4"/>
      <c r="E613" s="4"/>
    </row>
    <row r="614" ht="15.75" customHeight="1">
      <c r="B614" s="4"/>
      <c r="C614" s="4"/>
      <c r="D614" s="4"/>
      <c r="E614" s="4"/>
    </row>
    <row r="615" ht="15.75" customHeight="1">
      <c r="B615" s="4"/>
      <c r="C615" s="4"/>
      <c r="D615" s="4"/>
      <c r="E615" s="4"/>
    </row>
    <row r="616" ht="15.75" customHeight="1">
      <c r="B616" s="4"/>
      <c r="C616" s="4"/>
      <c r="D616" s="4"/>
      <c r="E616" s="4"/>
    </row>
    <row r="617" ht="15.75" customHeight="1">
      <c r="B617" s="4"/>
      <c r="C617" s="4"/>
      <c r="D617" s="4"/>
      <c r="E617" s="4"/>
    </row>
    <row r="618" ht="15.75" customHeight="1">
      <c r="B618" s="4"/>
      <c r="C618" s="4"/>
      <c r="D618" s="4"/>
      <c r="E618" s="4"/>
    </row>
    <row r="619" ht="15.75" customHeight="1">
      <c r="B619" s="4"/>
      <c r="C619" s="4"/>
      <c r="D619" s="4"/>
      <c r="E619" s="4"/>
    </row>
    <row r="620" ht="15.75" customHeight="1">
      <c r="B620" s="4"/>
      <c r="C620" s="4"/>
      <c r="D620" s="4"/>
      <c r="E620" s="4"/>
    </row>
    <row r="621" ht="15.75" customHeight="1">
      <c r="B621" s="4"/>
      <c r="C621" s="4"/>
      <c r="D621" s="4"/>
      <c r="E621" s="4"/>
    </row>
    <row r="622" ht="15.75" customHeight="1">
      <c r="B622" s="4"/>
      <c r="C622" s="4"/>
      <c r="D622" s="4"/>
      <c r="E622" s="4"/>
    </row>
    <row r="623" ht="15.75" customHeight="1">
      <c r="B623" s="4"/>
      <c r="C623" s="4"/>
      <c r="D623" s="4"/>
      <c r="E623" s="4"/>
    </row>
    <row r="624" ht="15.75" customHeight="1">
      <c r="B624" s="4"/>
      <c r="C624" s="4"/>
      <c r="D624" s="4"/>
      <c r="E624" s="4"/>
    </row>
    <row r="625" ht="15.75" customHeight="1">
      <c r="B625" s="4"/>
      <c r="C625" s="4"/>
      <c r="D625" s="4"/>
      <c r="E625" s="4"/>
    </row>
    <row r="626" ht="15.75" customHeight="1">
      <c r="B626" s="4"/>
      <c r="C626" s="4"/>
      <c r="D626" s="4"/>
      <c r="E626" s="4"/>
    </row>
    <row r="627" ht="15.75" customHeight="1">
      <c r="B627" s="4"/>
      <c r="C627" s="4"/>
      <c r="D627" s="4"/>
      <c r="E627" s="4"/>
    </row>
    <row r="628" ht="15.75" customHeight="1">
      <c r="B628" s="4"/>
      <c r="C628" s="4"/>
      <c r="D628" s="4"/>
      <c r="E628" s="4"/>
    </row>
    <row r="629" ht="15.75" customHeight="1">
      <c r="B629" s="4"/>
      <c r="C629" s="4"/>
      <c r="D629" s="4"/>
      <c r="E629" s="4"/>
    </row>
    <row r="630" ht="15.75" customHeight="1">
      <c r="B630" s="4"/>
      <c r="C630" s="4"/>
      <c r="D630" s="4"/>
      <c r="E630" s="4"/>
    </row>
    <row r="631" ht="15.75" customHeight="1">
      <c r="B631" s="4"/>
      <c r="C631" s="4"/>
      <c r="D631" s="4"/>
      <c r="E631" s="4"/>
    </row>
    <row r="632" ht="15.75" customHeight="1">
      <c r="B632" s="4"/>
      <c r="C632" s="4"/>
      <c r="D632" s="4"/>
      <c r="E632" s="4"/>
    </row>
    <row r="633" ht="15.75" customHeight="1">
      <c r="B633" s="4"/>
      <c r="C633" s="4"/>
      <c r="D633" s="4"/>
      <c r="E633" s="4"/>
    </row>
    <row r="634" ht="15.75" customHeight="1">
      <c r="B634" s="4"/>
      <c r="C634" s="4"/>
      <c r="D634" s="4"/>
      <c r="E634" s="4"/>
    </row>
    <row r="635" ht="15.75" customHeight="1">
      <c r="B635" s="4"/>
      <c r="C635" s="4"/>
      <c r="D635" s="4"/>
      <c r="E635" s="4"/>
    </row>
    <row r="636" ht="15.75" customHeight="1">
      <c r="B636" s="4"/>
      <c r="C636" s="4"/>
      <c r="D636" s="4"/>
      <c r="E636" s="4"/>
    </row>
    <row r="637" ht="15.75" customHeight="1">
      <c r="B637" s="4"/>
      <c r="C637" s="4"/>
      <c r="D637" s="4"/>
      <c r="E637" s="4"/>
    </row>
    <row r="638" ht="15.75" customHeight="1">
      <c r="B638" s="4"/>
      <c r="C638" s="4"/>
      <c r="D638" s="4"/>
      <c r="E638" s="4"/>
    </row>
    <row r="639" ht="15.75" customHeight="1">
      <c r="B639" s="4"/>
      <c r="C639" s="4"/>
      <c r="D639" s="4"/>
      <c r="E639" s="4"/>
    </row>
    <row r="640" ht="15.75" customHeight="1">
      <c r="B640" s="4"/>
      <c r="C640" s="4"/>
      <c r="D640" s="4"/>
      <c r="E640" s="4"/>
    </row>
    <row r="641" ht="15.75" customHeight="1">
      <c r="B641" s="4"/>
      <c r="C641" s="4"/>
      <c r="D641" s="4"/>
      <c r="E641" s="4"/>
    </row>
    <row r="642" ht="15.75" customHeight="1">
      <c r="B642" s="4"/>
      <c r="C642" s="4"/>
      <c r="D642" s="4"/>
      <c r="E642" s="4"/>
    </row>
    <row r="643" ht="15.75" customHeight="1">
      <c r="B643" s="4"/>
      <c r="C643" s="4"/>
      <c r="D643" s="4"/>
      <c r="E643" s="4"/>
    </row>
    <row r="644" ht="15.75" customHeight="1">
      <c r="B644" s="4"/>
      <c r="C644" s="4"/>
      <c r="D644" s="4"/>
      <c r="E644" s="4"/>
    </row>
    <row r="645" ht="15.75" customHeight="1">
      <c r="B645" s="4"/>
      <c r="C645" s="4"/>
      <c r="D645" s="4"/>
      <c r="E645" s="4"/>
    </row>
    <row r="646" ht="15.75" customHeight="1">
      <c r="B646" s="4"/>
      <c r="C646" s="4"/>
      <c r="D646" s="4"/>
      <c r="E646" s="4"/>
    </row>
    <row r="647" ht="15.75" customHeight="1">
      <c r="B647" s="4"/>
      <c r="C647" s="4"/>
      <c r="D647" s="4"/>
      <c r="E647" s="4"/>
    </row>
    <row r="648" ht="15.75" customHeight="1">
      <c r="B648" s="4"/>
      <c r="C648" s="4"/>
      <c r="D648" s="4"/>
      <c r="E648" s="4"/>
    </row>
    <row r="649" ht="15.75" customHeight="1">
      <c r="B649" s="4"/>
      <c r="C649" s="4"/>
      <c r="D649" s="4"/>
      <c r="E649" s="4"/>
    </row>
    <row r="650" ht="15.75" customHeight="1">
      <c r="B650" s="4"/>
      <c r="C650" s="4"/>
      <c r="D650" s="4"/>
      <c r="E650" s="4"/>
    </row>
    <row r="651" ht="15.75" customHeight="1">
      <c r="B651" s="4"/>
      <c r="C651" s="4"/>
      <c r="D651" s="4"/>
      <c r="E651" s="4"/>
    </row>
    <row r="652" ht="15.75" customHeight="1">
      <c r="B652" s="4"/>
      <c r="C652" s="4"/>
      <c r="D652" s="4"/>
      <c r="E652" s="4"/>
    </row>
    <row r="653" ht="15.75" customHeight="1">
      <c r="B653" s="4"/>
      <c r="C653" s="4"/>
      <c r="D653" s="4"/>
      <c r="E653" s="4"/>
    </row>
    <row r="654" ht="15.75" customHeight="1">
      <c r="B654" s="4"/>
      <c r="C654" s="4"/>
      <c r="D654" s="4"/>
      <c r="E654" s="4"/>
    </row>
    <row r="655" ht="15.75" customHeight="1">
      <c r="B655" s="4"/>
      <c r="C655" s="4"/>
      <c r="D655" s="4"/>
      <c r="E655" s="4"/>
    </row>
    <row r="656" ht="15.75" customHeight="1">
      <c r="B656" s="4"/>
      <c r="C656" s="4"/>
      <c r="D656" s="4"/>
      <c r="E656" s="4"/>
    </row>
    <row r="657" ht="15.75" customHeight="1">
      <c r="B657" s="4"/>
      <c r="C657" s="4"/>
      <c r="D657" s="4"/>
      <c r="E657" s="4"/>
    </row>
    <row r="658" ht="15.75" customHeight="1">
      <c r="B658" s="4"/>
      <c r="C658" s="4"/>
      <c r="D658" s="4"/>
      <c r="E658" s="4"/>
    </row>
    <row r="659" ht="15.75" customHeight="1">
      <c r="B659" s="4"/>
      <c r="C659" s="4"/>
      <c r="D659" s="4"/>
      <c r="E659" s="4"/>
    </row>
    <row r="660" ht="15.75" customHeight="1">
      <c r="B660" s="4"/>
      <c r="C660" s="4"/>
      <c r="D660" s="4"/>
      <c r="E660" s="4"/>
    </row>
    <row r="661" ht="15.75" customHeight="1">
      <c r="B661" s="4"/>
      <c r="C661" s="4"/>
      <c r="D661" s="4"/>
      <c r="E661" s="4"/>
    </row>
    <row r="662" ht="15.75" customHeight="1">
      <c r="B662" s="4"/>
      <c r="C662" s="4"/>
      <c r="D662" s="4"/>
      <c r="E662" s="4"/>
    </row>
    <row r="663" ht="15.75" customHeight="1">
      <c r="B663" s="4"/>
      <c r="C663" s="4"/>
      <c r="D663" s="4"/>
      <c r="E663" s="4"/>
    </row>
    <row r="664" ht="15.75" customHeight="1">
      <c r="B664" s="4"/>
      <c r="C664" s="4"/>
      <c r="D664" s="4"/>
      <c r="E664" s="4"/>
    </row>
    <row r="665" ht="15.75" customHeight="1">
      <c r="B665" s="4"/>
      <c r="C665" s="4"/>
      <c r="D665" s="4"/>
      <c r="E665" s="4"/>
    </row>
    <row r="666" ht="15.75" customHeight="1">
      <c r="B666" s="4"/>
      <c r="C666" s="4"/>
      <c r="D666" s="4"/>
      <c r="E666" s="4"/>
    </row>
    <row r="667" ht="15.75" customHeight="1">
      <c r="B667" s="4"/>
      <c r="C667" s="4"/>
      <c r="D667" s="4"/>
      <c r="E667" s="4"/>
    </row>
    <row r="668" ht="15.75" customHeight="1">
      <c r="B668" s="4"/>
      <c r="C668" s="4"/>
      <c r="D668" s="4"/>
      <c r="E668" s="4"/>
    </row>
    <row r="669" ht="15.75" customHeight="1">
      <c r="B669" s="4"/>
      <c r="C669" s="4"/>
      <c r="D669" s="4"/>
      <c r="E669" s="4"/>
    </row>
    <row r="670" ht="15.75" customHeight="1">
      <c r="B670" s="4"/>
      <c r="C670" s="4"/>
      <c r="D670" s="4"/>
      <c r="E670" s="4"/>
    </row>
    <row r="671" ht="15.75" customHeight="1">
      <c r="B671" s="4"/>
      <c r="C671" s="4"/>
      <c r="D671" s="4"/>
      <c r="E671" s="4"/>
    </row>
    <row r="672" ht="15.75" customHeight="1">
      <c r="B672" s="4"/>
      <c r="C672" s="4"/>
      <c r="D672" s="4"/>
      <c r="E672" s="4"/>
    </row>
    <row r="673" ht="15.75" customHeight="1">
      <c r="B673" s="4"/>
      <c r="C673" s="4"/>
      <c r="D673" s="4"/>
      <c r="E673" s="4"/>
    </row>
    <row r="674" ht="15.75" customHeight="1">
      <c r="B674" s="4"/>
      <c r="C674" s="4"/>
      <c r="D674" s="4"/>
      <c r="E674" s="4"/>
    </row>
    <row r="675" ht="15.75" customHeight="1">
      <c r="B675" s="4"/>
      <c r="C675" s="4"/>
      <c r="D675" s="4"/>
      <c r="E675" s="4"/>
    </row>
    <row r="676" ht="15.75" customHeight="1">
      <c r="B676" s="4"/>
      <c r="C676" s="4"/>
      <c r="D676" s="4"/>
      <c r="E676" s="4"/>
    </row>
    <row r="677" ht="15.75" customHeight="1">
      <c r="B677" s="4"/>
      <c r="C677" s="4"/>
      <c r="D677" s="4"/>
      <c r="E677" s="4"/>
    </row>
    <row r="678" ht="15.75" customHeight="1">
      <c r="B678" s="4"/>
      <c r="C678" s="4"/>
      <c r="D678" s="4"/>
      <c r="E678" s="4"/>
    </row>
    <row r="679" ht="15.75" customHeight="1">
      <c r="B679" s="4"/>
      <c r="C679" s="4"/>
      <c r="D679" s="4"/>
      <c r="E679" s="4"/>
    </row>
    <row r="680" ht="15.75" customHeight="1">
      <c r="B680" s="4"/>
      <c r="C680" s="4"/>
      <c r="D680" s="4"/>
      <c r="E680" s="4"/>
    </row>
    <row r="681" ht="15.75" customHeight="1">
      <c r="B681" s="4"/>
      <c r="C681" s="4"/>
      <c r="D681" s="4"/>
      <c r="E681" s="4"/>
    </row>
    <row r="682" ht="15.75" customHeight="1">
      <c r="B682" s="4"/>
      <c r="C682" s="4"/>
      <c r="D682" s="4"/>
      <c r="E682" s="4"/>
    </row>
    <row r="683" ht="15.75" customHeight="1">
      <c r="B683" s="4"/>
      <c r="C683" s="4"/>
      <c r="D683" s="4"/>
      <c r="E683" s="4"/>
    </row>
    <row r="684" ht="15.75" customHeight="1">
      <c r="B684" s="4"/>
      <c r="C684" s="4"/>
      <c r="D684" s="4"/>
      <c r="E684" s="4"/>
    </row>
    <row r="685" ht="15.75" customHeight="1">
      <c r="B685" s="4"/>
      <c r="C685" s="4"/>
      <c r="D685" s="4"/>
      <c r="E685" s="4"/>
    </row>
    <row r="686" ht="15.75" customHeight="1">
      <c r="B686" s="4"/>
      <c r="C686" s="4"/>
      <c r="D686" s="4"/>
      <c r="E686" s="4"/>
    </row>
    <row r="687" ht="15.75" customHeight="1">
      <c r="B687" s="4"/>
      <c r="C687" s="4"/>
      <c r="D687" s="4"/>
      <c r="E687" s="4"/>
    </row>
    <row r="688" ht="15.75" customHeight="1">
      <c r="B688" s="4"/>
      <c r="C688" s="4"/>
      <c r="D688" s="4"/>
      <c r="E688" s="4"/>
    </row>
    <row r="689" ht="15.75" customHeight="1">
      <c r="B689" s="4"/>
      <c r="C689" s="4"/>
      <c r="D689" s="4"/>
      <c r="E689" s="4"/>
    </row>
    <row r="690" ht="15.75" customHeight="1">
      <c r="B690" s="4"/>
      <c r="C690" s="4"/>
      <c r="D690" s="4"/>
      <c r="E690" s="4"/>
    </row>
    <row r="691" ht="15.75" customHeight="1">
      <c r="B691" s="4"/>
      <c r="C691" s="4"/>
      <c r="D691" s="4"/>
      <c r="E691" s="4"/>
    </row>
    <row r="692" ht="15.75" customHeight="1">
      <c r="B692" s="4"/>
      <c r="C692" s="4"/>
      <c r="D692" s="4"/>
      <c r="E692" s="4"/>
    </row>
    <row r="693" ht="15.75" customHeight="1">
      <c r="B693" s="4"/>
      <c r="C693" s="4"/>
      <c r="D693" s="4"/>
      <c r="E693" s="4"/>
    </row>
    <row r="694" ht="15.75" customHeight="1">
      <c r="B694" s="4"/>
      <c r="C694" s="4"/>
      <c r="D694" s="4"/>
      <c r="E694" s="4"/>
    </row>
    <row r="695" ht="15.75" customHeight="1">
      <c r="B695" s="4"/>
      <c r="C695" s="4"/>
      <c r="D695" s="4"/>
      <c r="E695" s="4"/>
    </row>
    <row r="696" ht="15.75" customHeight="1">
      <c r="B696" s="4"/>
      <c r="C696" s="4"/>
      <c r="D696" s="4"/>
      <c r="E696" s="4"/>
    </row>
    <row r="697" ht="15.75" customHeight="1">
      <c r="B697" s="4"/>
      <c r="C697" s="4"/>
      <c r="D697" s="4"/>
      <c r="E697" s="4"/>
    </row>
    <row r="698" ht="15.75" customHeight="1">
      <c r="B698" s="4"/>
      <c r="C698" s="4"/>
      <c r="D698" s="4"/>
      <c r="E698" s="4"/>
    </row>
    <row r="699" ht="15.75" customHeight="1">
      <c r="B699" s="4"/>
      <c r="C699" s="4"/>
      <c r="D699" s="4"/>
      <c r="E699" s="4"/>
    </row>
    <row r="700" ht="15.75" customHeight="1">
      <c r="B700" s="4"/>
      <c r="C700" s="4"/>
      <c r="D700" s="4"/>
      <c r="E700" s="4"/>
    </row>
    <row r="701" ht="15.75" customHeight="1">
      <c r="B701" s="4"/>
      <c r="C701" s="4"/>
      <c r="D701" s="4"/>
      <c r="E701" s="4"/>
    </row>
    <row r="702" ht="15.75" customHeight="1">
      <c r="B702" s="4"/>
      <c r="C702" s="4"/>
      <c r="D702" s="4"/>
      <c r="E702" s="4"/>
    </row>
    <row r="703" ht="15.75" customHeight="1">
      <c r="B703" s="4"/>
      <c r="C703" s="4"/>
      <c r="D703" s="4"/>
      <c r="E703" s="4"/>
    </row>
    <row r="704" ht="15.75" customHeight="1">
      <c r="B704" s="4"/>
      <c r="C704" s="4"/>
      <c r="D704" s="4"/>
      <c r="E704" s="4"/>
    </row>
    <row r="705" ht="15.75" customHeight="1">
      <c r="B705" s="4"/>
      <c r="C705" s="4"/>
      <c r="D705" s="4"/>
      <c r="E705" s="4"/>
    </row>
    <row r="706" ht="15.75" customHeight="1">
      <c r="B706" s="4"/>
      <c r="C706" s="4"/>
      <c r="D706" s="4"/>
      <c r="E706" s="4"/>
    </row>
    <row r="707" ht="15.75" customHeight="1">
      <c r="B707" s="4"/>
      <c r="C707" s="4"/>
      <c r="D707" s="4"/>
      <c r="E707" s="4"/>
    </row>
    <row r="708" ht="15.75" customHeight="1">
      <c r="B708" s="4"/>
      <c r="C708" s="4"/>
      <c r="D708" s="4"/>
      <c r="E708" s="4"/>
    </row>
    <row r="709" ht="15.75" customHeight="1">
      <c r="B709" s="4"/>
      <c r="C709" s="4"/>
      <c r="D709" s="4"/>
      <c r="E709" s="4"/>
    </row>
    <row r="710" ht="15.75" customHeight="1">
      <c r="B710" s="4"/>
      <c r="C710" s="4"/>
      <c r="D710" s="4"/>
      <c r="E710" s="4"/>
    </row>
    <row r="711" ht="15.75" customHeight="1">
      <c r="B711" s="4"/>
      <c r="C711" s="4"/>
      <c r="D711" s="4"/>
      <c r="E711" s="4"/>
    </row>
    <row r="712" ht="15.75" customHeight="1">
      <c r="B712" s="4"/>
      <c r="C712" s="4"/>
      <c r="D712" s="4"/>
      <c r="E712" s="4"/>
    </row>
    <row r="713" ht="15.75" customHeight="1">
      <c r="B713" s="4"/>
      <c r="C713" s="4"/>
      <c r="D713" s="4"/>
      <c r="E713" s="4"/>
    </row>
    <row r="714" ht="15.75" customHeight="1">
      <c r="B714" s="4"/>
      <c r="C714" s="4"/>
      <c r="D714" s="4"/>
      <c r="E714" s="4"/>
    </row>
    <row r="715" ht="15.75" customHeight="1">
      <c r="B715" s="4"/>
      <c r="C715" s="4"/>
      <c r="D715" s="4"/>
      <c r="E715" s="4"/>
    </row>
    <row r="716" ht="15.75" customHeight="1">
      <c r="B716" s="4"/>
      <c r="C716" s="4"/>
      <c r="D716" s="4"/>
      <c r="E716" s="4"/>
    </row>
    <row r="717" ht="15.75" customHeight="1">
      <c r="B717" s="4"/>
      <c r="C717" s="4"/>
      <c r="D717" s="4"/>
      <c r="E717" s="4"/>
    </row>
    <row r="718" ht="15.75" customHeight="1">
      <c r="B718" s="4"/>
      <c r="C718" s="4"/>
      <c r="D718" s="4"/>
      <c r="E718" s="4"/>
    </row>
    <row r="719" ht="15.75" customHeight="1">
      <c r="B719" s="4"/>
      <c r="C719" s="4"/>
      <c r="D719" s="4"/>
      <c r="E719" s="4"/>
    </row>
    <row r="720" ht="15.75" customHeight="1">
      <c r="B720" s="4"/>
      <c r="C720" s="4"/>
      <c r="D720" s="4"/>
      <c r="E720" s="4"/>
    </row>
    <row r="721" ht="15.75" customHeight="1">
      <c r="B721" s="4"/>
      <c r="C721" s="4"/>
      <c r="D721" s="4"/>
      <c r="E721" s="4"/>
    </row>
    <row r="722" ht="15.75" customHeight="1">
      <c r="B722" s="4"/>
      <c r="C722" s="4"/>
      <c r="D722" s="4"/>
      <c r="E722" s="4"/>
    </row>
    <row r="723" ht="15.75" customHeight="1">
      <c r="B723" s="4"/>
      <c r="C723" s="4"/>
      <c r="D723" s="4"/>
      <c r="E723" s="4"/>
    </row>
    <row r="724" ht="15.75" customHeight="1">
      <c r="B724" s="4"/>
      <c r="C724" s="4"/>
      <c r="D724" s="4"/>
      <c r="E724" s="4"/>
    </row>
    <row r="725" ht="15.75" customHeight="1">
      <c r="B725" s="4"/>
      <c r="C725" s="4"/>
      <c r="D725" s="4"/>
      <c r="E725" s="4"/>
    </row>
    <row r="726" ht="15.75" customHeight="1">
      <c r="B726" s="4"/>
      <c r="C726" s="4"/>
      <c r="D726" s="4"/>
      <c r="E726" s="4"/>
    </row>
    <row r="727" ht="15.75" customHeight="1">
      <c r="B727" s="4"/>
      <c r="C727" s="4"/>
      <c r="D727" s="4"/>
      <c r="E727" s="4"/>
    </row>
    <row r="728" ht="15.75" customHeight="1">
      <c r="B728" s="4"/>
      <c r="C728" s="4"/>
      <c r="D728" s="4"/>
      <c r="E728" s="4"/>
    </row>
    <row r="729" ht="15.75" customHeight="1">
      <c r="B729" s="4"/>
      <c r="C729" s="4"/>
      <c r="D729" s="4"/>
      <c r="E729" s="4"/>
    </row>
    <row r="730" ht="15.75" customHeight="1">
      <c r="B730" s="4"/>
      <c r="C730" s="4"/>
      <c r="D730" s="4"/>
      <c r="E730" s="4"/>
    </row>
    <row r="731" ht="15.75" customHeight="1">
      <c r="B731" s="4"/>
      <c r="C731" s="4"/>
      <c r="D731" s="4"/>
      <c r="E731" s="4"/>
    </row>
    <row r="732" ht="15.75" customHeight="1">
      <c r="B732" s="4"/>
      <c r="C732" s="4"/>
      <c r="D732" s="4"/>
      <c r="E732" s="4"/>
    </row>
    <row r="733" ht="15.75" customHeight="1">
      <c r="B733" s="4"/>
      <c r="C733" s="4"/>
      <c r="D733" s="4"/>
      <c r="E733" s="4"/>
    </row>
    <row r="734" ht="15.75" customHeight="1">
      <c r="B734" s="4"/>
      <c r="C734" s="4"/>
      <c r="D734" s="4"/>
      <c r="E734" s="4"/>
    </row>
    <row r="735" ht="15.75" customHeight="1">
      <c r="B735" s="4"/>
      <c r="C735" s="4"/>
      <c r="D735" s="4"/>
      <c r="E735" s="4"/>
    </row>
    <row r="736" ht="15.75" customHeight="1">
      <c r="B736" s="4"/>
      <c r="C736" s="4"/>
      <c r="D736" s="4"/>
      <c r="E736" s="4"/>
    </row>
    <row r="737" ht="15.75" customHeight="1">
      <c r="B737" s="4"/>
      <c r="C737" s="4"/>
      <c r="D737" s="4"/>
      <c r="E737" s="4"/>
    </row>
    <row r="738" ht="15.75" customHeight="1">
      <c r="B738" s="4"/>
      <c r="C738" s="4"/>
      <c r="D738" s="4"/>
      <c r="E738" s="4"/>
    </row>
    <row r="739" ht="15.75" customHeight="1">
      <c r="B739" s="4"/>
      <c r="C739" s="4"/>
      <c r="D739" s="4"/>
      <c r="E739" s="4"/>
    </row>
    <row r="740" ht="15.75" customHeight="1">
      <c r="B740" s="4"/>
      <c r="C740" s="4"/>
      <c r="D740" s="4"/>
      <c r="E740" s="4"/>
    </row>
    <row r="741" ht="15.75" customHeight="1">
      <c r="B741" s="4"/>
      <c r="C741" s="4"/>
      <c r="D741" s="4"/>
      <c r="E741" s="4"/>
    </row>
    <row r="742" ht="15.75" customHeight="1">
      <c r="B742" s="4"/>
      <c r="C742" s="4"/>
      <c r="D742" s="4"/>
      <c r="E742" s="4"/>
    </row>
    <row r="743" ht="15.75" customHeight="1">
      <c r="B743" s="4"/>
      <c r="C743" s="4"/>
      <c r="D743" s="4"/>
      <c r="E743" s="4"/>
    </row>
    <row r="744" ht="15.75" customHeight="1">
      <c r="B744" s="4"/>
      <c r="C744" s="4"/>
      <c r="D744" s="4"/>
      <c r="E744" s="4"/>
    </row>
    <row r="745" ht="15.75" customHeight="1">
      <c r="B745" s="4"/>
      <c r="C745" s="4"/>
      <c r="D745" s="4"/>
      <c r="E745" s="4"/>
    </row>
    <row r="746" ht="15.75" customHeight="1">
      <c r="B746" s="4"/>
      <c r="C746" s="4"/>
      <c r="D746" s="4"/>
      <c r="E746" s="4"/>
    </row>
    <row r="747" ht="15.75" customHeight="1">
      <c r="B747" s="4"/>
      <c r="C747" s="4"/>
      <c r="D747" s="4"/>
      <c r="E747" s="4"/>
    </row>
    <row r="748" ht="15.75" customHeight="1">
      <c r="B748" s="4"/>
      <c r="C748" s="4"/>
      <c r="D748" s="4"/>
      <c r="E748" s="4"/>
    </row>
    <row r="749" ht="15.75" customHeight="1">
      <c r="B749" s="4"/>
      <c r="C749" s="4"/>
      <c r="D749" s="4"/>
      <c r="E749" s="4"/>
    </row>
    <row r="750" ht="15.75" customHeight="1">
      <c r="B750" s="4"/>
      <c r="C750" s="4"/>
      <c r="D750" s="4"/>
      <c r="E750" s="4"/>
    </row>
    <row r="751" ht="15.75" customHeight="1">
      <c r="B751" s="4"/>
      <c r="C751" s="4"/>
      <c r="D751" s="4"/>
      <c r="E751" s="4"/>
    </row>
    <row r="752" ht="15.75" customHeight="1">
      <c r="B752" s="4"/>
      <c r="C752" s="4"/>
      <c r="D752" s="4"/>
      <c r="E752" s="4"/>
    </row>
    <row r="753" ht="15.75" customHeight="1">
      <c r="B753" s="4"/>
      <c r="C753" s="4"/>
      <c r="D753" s="4"/>
      <c r="E753" s="4"/>
    </row>
    <row r="754" ht="15.75" customHeight="1">
      <c r="B754" s="4"/>
      <c r="C754" s="4"/>
      <c r="D754" s="4"/>
      <c r="E754" s="4"/>
    </row>
    <row r="755" ht="15.75" customHeight="1">
      <c r="B755" s="4"/>
      <c r="C755" s="4"/>
      <c r="D755" s="4"/>
      <c r="E755" s="4"/>
    </row>
    <row r="756" ht="15.75" customHeight="1">
      <c r="B756" s="4"/>
      <c r="C756" s="4"/>
      <c r="D756" s="4"/>
      <c r="E756" s="4"/>
    </row>
    <row r="757" ht="15.75" customHeight="1">
      <c r="B757" s="4"/>
      <c r="C757" s="4"/>
      <c r="D757" s="4"/>
      <c r="E757" s="4"/>
    </row>
    <row r="758" ht="15.75" customHeight="1">
      <c r="B758" s="4"/>
      <c r="C758" s="4"/>
      <c r="D758" s="4"/>
      <c r="E758" s="4"/>
    </row>
    <row r="759" ht="15.75" customHeight="1">
      <c r="B759" s="4"/>
      <c r="C759" s="4"/>
      <c r="D759" s="4"/>
      <c r="E759" s="4"/>
    </row>
    <row r="760" ht="15.75" customHeight="1">
      <c r="B760" s="4"/>
      <c r="C760" s="4"/>
      <c r="D760" s="4"/>
      <c r="E760" s="4"/>
    </row>
    <row r="761" ht="15.75" customHeight="1">
      <c r="B761" s="4"/>
      <c r="C761" s="4"/>
      <c r="D761" s="4"/>
      <c r="E761" s="4"/>
    </row>
    <row r="762" ht="15.75" customHeight="1">
      <c r="B762" s="4"/>
      <c r="C762" s="4"/>
      <c r="D762" s="4"/>
      <c r="E762" s="4"/>
    </row>
    <row r="763" ht="15.75" customHeight="1">
      <c r="B763" s="4"/>
      <c r="C763" s="4"/>
      <c r="D763" s="4"/>
      <c r="E763" s="4"/>
    </row>
    <row r="764" ht="15.75" customHeight="1">
      <c r="B764" s="4"/>
      <c r="C764" s="4"/>
      <c r="D764" s="4"/>
      <c r="E764" s="4"/>
    </row>
    <row r="765" ht="15.75" customHeight="1">
      <c r="B765" s="4"/>
      <c r="C765" s="4"/>
      <c r="D765" s="4"/>
      <c r="E765" s="4"/>
    </row>
    <row r="766" ht="15.75" customHeight="1">
      <c r="B766" s="4"/>
      <c r="C766" s="4"/>
      <c r="D766" s="4"/>
      <c r="E766" s="4"/>
    </row>
    <row r="767" ht="15.75" customHeight="1">
      <c r="B767" s="4"/>
      <c r="C767" s="4"/>
      <c r="D767" s="4"/>
      <c r="E767" s="4"/>
    </row>
    <row r="768" ht="15.75" customHeight="1">
      <c r="B768" s="4"/>
      <c r="C768" s="4"/>
      <c r="D768" s="4"/>
      <c r="E768" s="4"/>
    </row>
    <row r="769" ht="15.75" customHeight="1">
      <c r="B769" s="4"/>
      <c r="C769" s="4"/>
      <c r="D769" s="4"/>
      <c r="E769" s="4"/>
    </row>
    <row r="770" ht="15.75" customHeight="1">
      <c r="B770" s="4"/>
      <c r="C770" s="4"/>
      <c r="D770" s="4"/>
      <c r="E770" s="4"/>
    </row>
    <row r="771" ht="15.75" customHeight="1">
      <c r="B771" s="4"/>
      <c r="C771" s="4"/>
      <c r="D771" s="4"/>
      <c r="E771" s="4"/>
    </row>
    <row r="772" ht="15.75" customHeight="1">
      <c r="B772" s="4"/>
      <c r="C772" s="4"/>
      <c r="D772" s="4"/>
      <c r="E772" s="4"/>
    </row>
    <row r="773" ht="15.75" customHeight="1">
      <c r="B773" s="4"/>
      <c r="C773" s="4"/>
      <c r="D773" s="4"/>
      <c r="E773" s="4"/>
    </row>
    <row r="774" ht="15.75" customHeight="1">
      <c r="B774" s="4"/>
      <c r="C774" s="4"/>
      <c r="D774" s="4"/>
      <c r="E774" s="4"/>
    </row>
    <row r="775" ht="15.75" customHeight="1">
      <c r="B775" s="4"/>
      <c r="C775" s="4"/>
      <c r="D775" s="4"/>
      <c r="E775" s="4"/>
    </row>
    <row r="776" ht="15.75" customHeight="1">
      <c r="B776" s="4"/>
      <c r="C776" s="4"/>
      <c r="D776" s="4"/>
      <c r="E776" s="4"/>
    </row>
    <row r="777" ht="15.75" customHeight="1">
      <c r="B777" s="4"/>
      <c r="C777" s="4"/>
      <c r="D777" s="4"/>
      <c r="E777" s="4"/>
    </row>
    <row r="778" ht="15.75" customHeight="1">
      <c r="B778" s="4"/>
      <c r="C778" s="4"/>
      <c r="D778" s="4"/>
      <c r="E778" s="4"/>
    </row>
    <row r="779" ht="15.75" customHeight="1">
      <c r="B779" s="4"/>
      <c r="C779" s="4"/>
      <c r="D779" s="4"/>
      <c r="E779" s="4"/>
    </row>
    <row r="780" ht="15.75" customHeight="1">
      <c r="B780" s="4"/>
      <c r="C780" s="4"/>
      <c r="D780" s="4"/>
      <c r="E780" s="4"/>
    </row>
    <row r="781" ht="15.75" customHeight="1">
      <c r="B781" s="4"/>
      <c r="C781" s="4"/>
      <c r="D781" s="4"/>
      <c r="E781" s="4"/>
    </row>
    <row r="782" ht="15.75" customHeight="1">
      <c r="B782" s="4"/>
      <c r="C782" s="4"/>
      <c r="D782" s="4"/>
      <c r="E782" s="4"/>
    </row>
    <row r="783" ht="15.75" customHeight="1">
      <c r="B783" s="4"/>
      <c r="C783" s="4"/>
      <c r="D783" s="4"/>
      <c r="E783" s="4"/>
    </row>
    <row r="784" ht="15.75" customHeight="1">
      <c r="B784" s="4"/>
      <c r="C784" s="4"/>
      <c r="D784" s="4"/>
      <c r="E784" s="4"/>
    </row>
    <row r="785" ht="15.75" customHeight="1">
      <c r="B785" s="4"/>
      <c r="C785" s="4"/>
      <c r="D785" s="4"/>
      <c r="E785" s="4"/>
    </row>
    <row r="786" ht="15.75" customHeight="1">
      <c r="B786" s="4"/>
      <c r="C786" s="4"/>
      <c r="D786" s="4"/>
      <c r="E786" s="4"/>
    </row>
    <row r="787" ht="15.75" customHeight="1">
      <c r="B787" s="4"/>
      <c r="C787" s="4"/>
      <c r="D787" s="4"/>
      <c r="E787" s="4"/>
    </row>
    <row r="788" ht="15.75" customHeight="1">
      <c r="B788" s="4"/>
      <c r="C788" s="4"/>
      <c r="D788" s="4"/>
      <c r="E788" s="4"/>
    </row>
    <row r="789" ht="15.75" customHeight="1">
      <c r="B789" s="4"/>
      <c r="C789" s="4"/>
      <c r="D789" s="4"/>
      <c r="E789" s="4"/>
    </row>
    <row r="790" ht="15.75" customHeight="1">
      <c r="B790" s="4"/>
      <c r="C790" s="4"/>
      <c r="D790" s="4"/>
      <c r="E790" s="4"/>
    </row>
    <row r="791" ht="15.75" customHeight="1">
      <c r="B791" s="4"/>
      <c r="C791" s="4"/>
      <c r="D791" s="4"/>
      <c r="E791" s="4"/>
    </row>
    <row r="792" ht="15.75" customHeight="1">
      <c r="B792" s="4"/>
      <c r="C792" s="4"/>
      <c r="D792" s="4"/>
      <c r="E792" s="4"/>
    </row>
    <row r="793" ht="15.75" customHeight="1">
      <c r="B793" s="4"/>
      <c r="C793" s="4"/>
      <c r="D793" s="4"/>
      <c r="E793" s="4"/>
    </row>
    <row r="794" ht="15.75" customHeight="1">
      <c r="B794" s="4"/>
      <c r="C794" s="4"/>
      <c r="D794" s="4"/>
      <c r="E794" s="4"/>
    </row>
    <row r="795" ht="15.75" customHeight="1">
      <c r="B795" s="4"/>
      <c r="C795" s="4"/>
      <c r="D795" s="4"/>
      <c r="E795" s="4"/>
    </row>
    <row r="796" ht="15.75" customHeight="1">
      <c r="B796" s="4"/>
      <c r="C796" s="4"/>
      <c r="D796" s="4"/>
      <c r="E796" s="4"/>
    </row>
    <row r="797" ht="15.75" customHeight="1">
      <c r="B797" s="4"/>
      <c r="C797" s="4"/>
      <c r="D797" s="4"/>
      <c r="E797" s="4"/>
    </row>
    <row r="798" ht="15.75" customHeight="1">
      <c r="B798" s="4"/>
      <c r="C798" s="4"/>
      <c r="D798" s="4"/>
      <c r="E798" s="4"/>
    </row>
    <row r="799" ht="15.75" customHeight="1">
      <c r="B799" s="4"/>
      <c r="C799" s="4"/>
      <c r="D799" s="4"/>
      <c r="E799" s="4"/>
    </row>
    <row r="800" ht="15.75" customHeight="1">
      <c r="B800" s="4"/>
      <c r="C800" s="4"/>
      <c r="D800" s="4"/>
      <c r="E800" s="4"/>
    </row>
    <row r="801" ht="15.75" customHeight="1">
      <c r="B801" s="4"/>
      <c r="C801" s="4"/>
      <c r="D801" s="4"/>
      <c r="E801" s="4"/>
    </row>
    <row r="802" ht="15.75" customHeight="1">
      <c r="B802" s="4"/>
      <c r="C802" s="4"/>
      <c r="D802" s="4"/>
      <c r="E802" s="4"/>
    </row>
    <row r="803" ht="15.75" customHeight="1">
      <c r="B803" s="4"/>
      <c r="C803" s="4"/>
      <c r="D803" s="4"/>
      <c r="E803" s="4"/>
    </row>
    <row r="804" ht="15.75" customHeight="1">
      <c r="B804" s="4"/>
      <c r="C804" s="4"/>
      <c r="D804" s="4"/>
      <c r="E804" s="4"/>
    </row>
    <row r="805" ht="15.75" customHeight="1">
      <c r="B805" s="4"/>
      <c r="C805" s="4"/>
      <c r="D805" s="4"/>
      <c r="E805" s="4"/>
    </row>
    <row r="806" ht="15.75" customHeight="1">
      <c r="B806" s="4"/>
      <c r="C806" s="4"/>
      <c r="D806" s="4"/>
      <c r="E806" s="4"/>
    </row>
    <row r="807" ht="15.75" customHeight="1">
      <c r="B807" s="4"/>
      <c r="C807" s="4"/>
      <c r="D807" s="4"/>
      <c r="E807" s="4"/>
    </row>
    <row r="808" ht="15.75" customHeight="1">
      <c r="B808" s="4"/>
      <c r="C808" s="4"/>
      <c r="D808" s="4"/>
      <c r="E808" s="4"/>
    </row>
    <row r="809" ht="15.75" customHeight="1">
      <c r="B809" s="4"/>
      <c r="C809" s="4"/>
      <c r="D809" s="4"/>
      <c r="E809" s="4"/>
    </row>
    <row r="810" ht="15.75" customHeight="1">
      <c r="B810" s="4"/>
      <c r="C810" s="4"/>
      <c r="D810" s="4"/>
      <c r="E810" s="4"/>
    </row>
    <row r="811" ht="15.75" customHeight="1">
      <c r="B811" s="4"/>
      <c r="C811" s="4"/>
      <c r="D811" s="4"/>
      <c r="E811" s="4"/>
    </row>
    <row r="812" ht="15.75" customHeight="1">
      <c r="B812" s="4"/>
      <c r="C812" s="4"/>
      <c r="D812" s="4"/>
      <c r="E812" s="4"/>
    </row>
    <row r="813" ht="15.75" customHeight="1">
      <c r="B813" s="4"/>
      <c r="C813" s="4"/>
      <c r="D813" s="4"/>
      <c r="E813" s="4"/>
    </row>
    <row r="814" ht="15.75" customHeight="1">
      <c r="B814" s="4"/>
      <c r="C814" s="4"/>
      <c r="D814" s="4"/>
      <c r="E814" s="4"/>
    </row>
    <row r="815" ht="15.75" customHeight="1">
      <c r="B815" s="4"/>
      <c r="C815" s="4"/>
      <c r="D815" s="4"/>
      <c r="E815" s="4"/>
    </row>
    <row r="816" ht="15.75" customHeight="1">
      <c r="B816" s="4"/>
      <c r="C816" s="4"/>
      <c r="D816" s="4"/>
      <c r="E816" s="4"/>
    </row>
    <row r="817" ht="15.75" customHeight="1">
      <c r="B817" s="4"/>
      <c r="C817" s="4"/>
      <c r="D817" s="4"/>
      <c r="E817" s="4"/>
    </row>
    <row r="818" ht="15.75" customHeight="1">
      <c r="B818" s="4"/>
      <c r="C818" s="4"/>
      <c r="D818" s="4"/>
      <c r="E818" s="4"/>
    </row>
    <row r="819" ht="15.75" customHeight="1">
      <c r="B819" s="4"/>
      <c r="C819" s="4"/>
      <c r="D819" s="4"/>
      <c r="E819" s="4"/>
    </row>
    <row r="820" ht="15.75" customHeight="1">
      <c r="B820" s="4"/>
      <c r="C820" s="4"/>
      <c r="D820" s="4"/>
      <c r="E820" s="4"/>
    </row>
    <row r="821" ht="15.75" customHeight="1">
      <c r="B821" s="4"/>
      <c r="C821" s="4"/>
      <c r="D821" s="4"/>
      <c r="E821" s="4"/>
    </row>
    <row r="822" ht="15.75" customHeight="1">
      <c r="B822" s="4"/>
      <c r="C822" s="4"/>
      <c r="D822" s="4"/>
      <c r="E822" s="4"/>
    </row>
    <row r="823" ht="15.75" customHeight="1">
      <c r="B823" s="4"/>
      <c r="C823" s="4"/>
      <c r="D823" s="4"/>
      <c r="E823" s="4"/>
    </row>
    <row r="824" ht="15.75" customHeight="1">
      <c r="B824" s="4"/>
      <c r="C824" s="4"/>
      <c r="D824" s="4"/>
      <c r="E824" s="4"/>
    </row>
    <row r="825" ht="15.75" customHeight="1">
      <c r="B825" s="4"/>
      <c r="C825" s="4"/>
      <c r="D825" s="4"/>
      <c r="E825" s="4"/>
    </row>
    <row r="826" ht="15.75" customHeight="1">
      <c r="B826" s="4"/>
      <c r="C826" s="4"/>
      <c r="D826" s="4"/>
      <c r="E826" s="4"/>
    </row>
    <row r="827" ht="15.75" customHeight="1">
      <c r="B827" s="4"/>
      <c r="C827" s="4"/>
      <c r="D827" s="4"/>
      <c r="E827" s="4"/>
    </row>
    <row r="828" ht="15.75" customHeight="1">
      <c r="B828" s="4"/>
      <c r="C828" s="4"/>
      <c r="D828" s="4"/>
      <c r="E828" s="4"/>
    </row>
    <row r="829" ht="15.75" customHeight="1">
      <c r="B829" s="4"/>
      <c r="C829" s="4"/>
      <c r="D829" s="4"/>
      <c r="E829" s="4"/>
    </row>
    <row r="830" ht="15.75" customHeight="1">
      <c r="B830" s="4"/>
      <c r="C830" s="4"/>
      <c r="D830" s="4"/>
      <c r="E830" s="4"/>
    </row>
    <row r="831" ht="15.75" customHeight="1">
      <c r="B831" s="4"/>
      <c r="C831" s="4"/>
      <c r="D831" s="4"/>
      <c r="E831" s="4"/>
    </row>
    <row r="832" ht="15.75" customHeight="1">
      <c r="B832" s="4"/>
      <c r="C832" s="4"/>
      <c r="D832" s="4"/>
      <c r="E832" s="4"/>
    </row>
    <row r="833" ht="15.75" customHeight="1">
      <c r="B833" s="4"/>
      <c r="C833" s="4"/>
      <c r="D833" s="4"/>
      <c r="E833" s="4"/>
    </row>
    <row r="834" ht="15.75" customHeight="1">
      <c r="B834" s="4"/>
      <c r="C834" s="4"/>
      <c r="D834" s="4"/>
      <c r="E834" s="4"/>
    </row>
    <row r="835" ht="15.75" customHeight="1">
      <c r="B835" s="4"/>
      <c r="C835" s="4"/>
      <c r="D835" s="4"/>
      <c r="E835" s="4"/>
    </row>
    <row r="836" ht="15.75" customHeight="1">
      <c r="B836" s="4"/>
      <c r="C836" s="4"/>
      <c r="D836" s="4"/>
      <c r="E836" s="4"/>
    </row>
    <row r="837" ht="15.75" customHeight="1">
      <c r="B837" s="4"/>
      <c r="C837" s="4"/>
      <c r="D837" s="4"/>
      <c r="E837" s="4"/>
    </row>
    <row r="838" ht="15.75" customHeight="1">
      <c r="B838" s="4"/>
      <c r="C838" s="4"/>
      <c r="D838" s="4"/>
      <c r="E838" s="4"/>
    </row>
    <row r="839" ht="15.75" customHeight="1">
      <c r="B839" s="4"/>
      <c r="C839" s="4"/>
      <c r="D839" s="4"/>
      <c r="E839" s="4"/>
    </row>
    <row r="840" ht="15.75" customHeight="1">
      <c r="B840" s="4"/>
      <c r="C840" s="4"/>
      <c r="D840" s="4"/>
      <c r="E840" s="4"/>
    </row>
    <row r="841" ht="15.75" customHeight="1">
      <c r="B841" s="4"/>
      <c r="C841" s="4"/>
      <c r="D841" s="4"/>
      <c r="E841" s="4"/>
    </row>
    <row r="842" ht="15.75" customHeight="1">
      <c r="B842" s="4"/>
      <c r="C842" s="4"/>
      <c r="D842" s="4"/>
      <c r="E842" s="4"/>
    </row>
    <row r="843" ht="15.75" customHeight="1">
      <c r="B843" s="4"/>
      <c r="C843" s="4"/>
      <c r="D843" s="4"/>
      <c r="E843" s="4"/>
    </row>
    <row r="844" ht="15.75" customHeight="1">
      <c r="B844" s="4"/>
      <c r="C844" s="4"/>
      <c r="D844" s="4"/>
      <c r="E844" s="4"/>
    </row>
    <row r="845" ht="15.75" customHeight="1">
      <c r="B845" s="4"/>
      <c r="C845" s="4"/>
      <c r="D845" s="4"/>
      <c r="E845" s="4"/>
    </row>
    <row r="846" ht="15.75" customHeight="1">
      <c r="B846" s="4"/>
      <c r="C846" s="4"/>
      <c r="D846" s="4"/>
      <c r="E846" s="4"/>
    </row>
    <row r="847" ht="15.75" customHeight="1">
      <c r="B847" s="4"/>
      <c r="C847" s="4"/>
      <c r="D847" s="4"/>
      <c r="E847" s="4"/>
    </row>
    <row r="848" ht="15.75" customHeight="1">
      <c r="B848" s="4"/>
      <c r="C848" s="4"/>
      <c r="D848" s="4"/>
      <c r="E848" s="4"/>
    </row>
    <row r="849" ht="15.75" customHeight="1">
      <c r="B849" s="4"/>
      <c r="C849" s="4"/>
      <c r="D849" s="4"/>
      <c r="E849" s="4"/>
    </row>
    <row r="850" ht="15.75" customHeight="1">
      <c r="B850" s="4"/>
      <c r="C850" s="4"/>
      <c r="D850" s="4"/>
      <c r="E850" s="4"/>
    </row>
    <row r="851" ht="15.75" customHeight="1">
      <c r="B851" s="4"/>
      <c r="C851" s="4"/>
      <c r="D851" s="4"/>
      <c r="E851" s="4"/>
    </row>
    <row r="852" ht="15.75" customHeight="1">
      <c r="B852" s="4"/>
      <c r="C852" s="4"/>
      <c r="D852" s="4"/>
      <c r="E852" s="4"/>
    </row>
    <row r="853" ht="15.75" customHeight="1">
      <c r="B853" s="4"/>
      <c r="C853" s="4"/>
      <c r="D853" s="4"/>
      <c r="E853" s="4"/>
    </row>
    <row r="854" ht="15.75" customHeight="1">
      <c r="B854" s="4"/>
      <c r="C854" s="4"/>
      <c r="D854" s="4"/>
      <c r="E854" s="4"/>
    </row>
    <row r="855" ht="15.75" customHeight="1">
      <c r="B855" s="4"/>
      <c r="C855" s="4"/>
      <c r="D855" s="4"/>
      <c r="E855" s="4"/>
    </row>
    <row r="856" ht="15.75" customHeight="1">
      <c r="B856" s="4"/>
      <c r="C856" s="4"/>
      <c r="D856" s="4"/>
      <c r="E856" s="4"/>
    </row>
    <row r="857" ht="15.75" customHeight="1">
      <c r="B857" s="4"/>
      <c r="C857" s="4"/>
      <c r="D857" s="4"/>
      <c r="E857" s="4"/>
    </row>
    <row r="858" ht="15.75" customHeight="1">
      <c r="B858" s="4"/>
      <c r="C858" s="4"/>
      <c r="D858" s="4"/>
      <c r="E858" s="4"/>
    </row>
    <row r="859" ht="15.75" customHeight="1">
      <c r="B859" s="4"/>
      <c r="C859" s="4"/>
      <c r="D859" s="4"/>
      <c r="E859" s="4"/>
    </row>
    <row r="860" ht="15.75" customHeight="1">
      <c r="B860" s="4"/>
      <c r="C860" s="4"/>
      <c r="D860" s="4"/>
      <c r="E860" s="4"/>
    </row>
    <row r="861" ht="15.75" customHeight="1">
      <c r="B861" s="4"/>
      <c r="C861" s="4"/>
      <c r="D861" s="4"/>
      <c r="E861" s="4"/>
    </row>
    <row r="862" ht="15.75" customHeight="1">
      <c r="B862" s="4"/>
      <c r="C862" s="4"/>
      <c r="D862" s="4"/>
      <c r="E862" s="4"/>
    </row>
    <row r="863" ht="15.75" customHeight="1">
      <c r="B863" s="4"/>
      <c r="C863" s="4"/>
      <c r="D863" s="4"/>
      <c r="E863" s="4"/>
    </row>
    <row r="864" ht="15.75" customHeight="1">
      <c r="B864" s="4"/>
      <c r="C864" s="4"/>
      <c r="D864" s="4"/>
      <c r="E864" s="4"/>
    </row>
    <row r="865" ht="15.75" customHeight="1">
      <c r="B865" s="4"/>
      <c r="C865" s="4"/>
      <c r="D865" s="4"/>
      <c r="E865" s="4"/>
    </row>
    <row r="866" ht="15.75" customHeight="1">
      <c r="B866" s="4"/>
      <c r="C866" s="4"/>
      <c r="D866" s="4"/>
      <c r="E866" s="4"/>
    </row>
    <row r="867" ht="15.75" customHeight="1">
      <c r="B867" s="4"/>
      <c r="C867" s="4"/>
      <c r="D867" s="4"/>
      <c r="E867" s="4"/>
    </row>
    <row r="868" ht="15.75" customHeight="1">
      <c r="B868" s="4"/>
      <c r="C868" s="4"/>
      <c r="D868" s="4"/>
      <c r="E868" s="4"/>
    </row>
    <row r="869" ht="15.75" customHeight="1">
      <c r="B869" s="4"/>
      <c r="C869" s="4"/>
      <c r="D869" s="4"/>
      <c r="E869" s="4"/>
    </row>
    <row r="870" ht="15.75" customHeight="1">
      <c r="B870" s="4"/>
      <c r="C870" s="4"/>
      <c r="D870" s="4"/>
      <c r="E870" s="4"/>
    </row>
    <row r="871" ht="15.75" customHeight="1">
      <c r="B871" s="4"/>
      <c r="C871" s="4"/>
      <c r="D871" s="4"/>
      <c r="E871" s="4"/>
    </row>
    <row r="872" ht="15.75" customHeight="1">
      <c r="B872" s="4"/>
      <c r="C872" s="4"/>
      <c r="D872" s="4"/>
      <c r="E872" s="4"/>
    </row>
    <row r="873" ht="15.75" customHeight="1">
      <c r="B873" s="4"/>
      <c r="C873" s="4"/>
      <c r="D873" s="4"/>
      <c r="E873" s="4"/>
    </row>
    <row r="874" ht="15.75" customHeight="1">
      <c r="B874" s="4"/>
      <c r="C874" s="4"/>
      <c r="D874" s="4"/>
      <c r="E874" s="4"/>
    </row>
    <row r="875" ht="15.75" customHeight="1">
      <c r="B875" s="4"/>
      <c r="C875" s="4"/>
      <c r="D875" s="4"/>
      <c r="E875" s="4"/>
    </row>
    <row r="876" ht="15.75" customHeight="1">
      <c r="B876" s="4"/>
      <c r="C876" s="4"/>
      <c r="D876" s="4"/>
      <c r="E876" s="4"/>
    </row>
    <row r="877" ht="15.75" customHeight="1">
      <c r="B877" s="4"/>
      <c r="C877" s="4"/>
      <c r="D877" s="4"/>
      <c r="E877" s="4"/>
    </row>
    <row r="878" ht="15.75" customHeight="1">
      <c r="B878" s="4"/>
      <c r="C878" s="4"/>
      <c r="D878" s="4"/>
      <c r="E878" s="4"/>
    </row>
    <row r="879" ht="15.75" customHeight="1">
      <c r="B879" s="4"/>
      <c r="C879" s="4"/>
      <c r="D879" s="4"/>
      <c r="E879" s="4"/>
    </row>
    <row r="880" ht="15.75" customHeight="1">
      <c r="B880" s="4"/>
      <c r="C880" s="4"/>
      <c r="D880" s="4"/>
      <c r="E880" s="4"/>
    </row>
    <row r="881" ht="15.75" customHeight="1">
      <c r="B881" s="4"/>
      <c r="C881" s="4"/>
      <c r="D881" s="4"/>
      <c r="E881" s="4"/>
    </row>
    <row r="882" ht="15.75" customHeight="1">
      <c r="B882" s="4"/>
      <c r="C882" s="4"/>
      <c r="D882" s="4"/>
      <c r="E882" s="4"/>
    </row>
    <row r="883" ht="15.75" customHeight="1">
      <c r="B883" s="4"/>
      <c r="C883" s="4"/>
      <c r="D883" s="4"/>
      <c r="E883" s="4"/>
    </row>
    <row r="884" ht="15.75" customHeight="1">
      <c r="B884" s="4"/>
      <c r="C884" s="4"/>
      <c r="D884" s="4"/>
      <c r="E884" s="4"/>
    </row>
    <row r="885" ht="15.75" customHeight="1">
      <c r="B885" s="4"/>
      <c r="C885" s="4"/>
      <c r="D885" s="4"/>
      <c r="E885" s="4"/>
    </row>
    <row r="886" ht="15.75" customHeight="1">
      <c r="B886" s="4"/>
      <c r="C886" s="4"/>
      <c r="D886" s="4"/>
      <c r="E886" s="4"/>
    </row>
    <row r="887" ht="15.75" customHeight="1">
      <c r="B887" s="4"/>
      <c r="C887" s="4"/>
      <c r="D887" s="4"/>
      <c r="E887" s="4"/>
    </row>
    <row r="888" ht="15.75" customHeight="1">
      <c r="B888" s="4"/>
      <c r="C888" s="4"/>
      <c r="D888" s="4"/>
      <c r="E888" s="4"/>
    </row>
    <row r="889" ht="15.75" customHeight="1">
      <c r="B889" s="4"/>
      <c r="C889" s="4"/>
      <c r="D889" s="4"/>
      <c r="E889" s="4"/>
    </row>
    <row r="890" ht="15.75" customHeight="1">
      <c r="B890" s="4"/>
      <c r="C890" s="4"/>
      <c r="D890" s="4"/>
      <c r="E890" s="4"/>
    </row>
    <row r="891" ht="15.75" customHeight="1">
      <c r="B891" s="4"/>
      <c r="C891" s="4"/>
      <c r="D891" s="4"/>
      <c r="E891" s="4"/>
    </row>
    <row r="892" ht="15.75" customHeight="1">
      <c r="B892" s="4"/>
      <c r="C892" s="4"/>
      <c r="D892" s="4"/>
      <c r="E892" s="4"/>
    </row>
    <row r="893" ht="15.75" customHeight="1">
      <c r="B893" s="4"/>
      <c r="C893" s="4"/>
      <c r="D893" s="4"/>
      <c r="E893" s="4"/>
    </row>
    <row r="894" ht="15.75" customHeight="1">
      <c r="B894" s="4"/>
      <c r="C894" s="4"/>
      <c r="D894" s="4"/>
      <c r="E894" s="4"/>
    </row>
    <row r="895" ht="15.75" customHeight="1">
      <c r="B895" s="4"/>
      <c r="C895" s="4"/>
      <c r="D895" s="4"/>
      <c r="E895" s="4"/>
    </row>
    <row r="896" ht="15.75" customHeight="1">
      <c r="B896" s="4"/>
      <c r="C896" s="4"/>
      <c r="D896" s="4"/>
      <c r="E896" s="4"/>
    </row>
    <row r="897" ht="15.75" customHeight="1">
      <c r="B897" s="4"/>
      <c r="C897" s="4"/>
      <c r="D897" s="4"/>
      <c r="E897" s="4"/>
    </row>
    <row r="898" ht="15.75" customHeight="1">
      <c r="B898" s="4"/>
      <c r="C898" s="4"/>
      <c r="D898" s="4"/>
      <c r="E898" s="4"/>
    </row>
    <row r="899" ht="15.75" customHeight="1">
      <c r="B899" s="4"/>
      <c r="C899" s="4"/>
      <c r="D899" s="4"/>
      <c r="E899" s="4"/>
    </row>
    <row r="900" ht="15.75" customHeight="1">
      <c r="B900" s="4"/>
      <c r="C900" s="4"/>
      <c r="D900" s="4"/>
      <c r="E900" s="4"/>
    </row>
    <row r="901" ht="15.75" customHeight="1">
      <c r="B901" s="4"/>
      <c r="C901" s="4"/>
      <c r="D901" s="4"/>
      <c r="E901" s="4"/>
    </row>
    <row r="902" ht="15.75" customHeight="1">
      <c r="B902" s="4"/>
      <c r="C902" s="4"/>
      <c r="D902" s="4"/>
      <c r="E902" s="4"/>
    </row>
    <row r="903" ht="15.75" customHeight="1">
      <c r="B903" s="4"/>
      <c r="C903" s="4"/>
      <c r="D903" s="4"/>
      <c r="E903" s="4"/>
    </row>
    <row r="904" ht="15.75" customHeight="1">
      <c r="B904" s="4"/>
      <c r="C904" s="4"/>
      <c r="D904" s="4"/>
      <c r="E904" s="4"/>
    </row>
    <row r="905" ht="15.75" customHeight="1">
      <c r="B905" s="4"/>
      <c r="C905" s="4"/>
      <c r="D905" s="4"/>
      <c r="E905" s="4"/>
    </row>
    <row r="906" ht="15.75" customHeight="1">
      <c r="B906" s="4"/>
      <c r="C906" s="4"/>
      <c r="D906" s="4"/>
      <c r="E906" s="4"/>
    </row>
    <row r="907" ht="15.75" customHeight="1">
      <c r="B907" s="4"/>
      <c r="C907" s="4"/>
      <c r="D907" s="4"/>
      <c r="E907" s="4"/>
    </row>
    <row r="908" ht="15.75" customHeight="1">
      <c r="B908" s="4"/>
      <c r="C908" s="4"/>
      <c r="D908" s="4"/>
      <c r="E908" s="4"/>
    </row>
    <row r="909" ht="15.75" customHeight="1">
      <c r="B909" s="4"/>
      <c r="C909" s="4"/>
      <c r="D909" s="4"/>
      <c r="E909" s="4"/>
    </row>
    <row r="910" ht="15.75" customHeight="1">
      <c r="B910" s="4"/>
      <c r="C910" s="4"/>
      <c r="D910" s="4"/>
      <c r="E910" s="4"/>
    </row>
    <row r="911" ht="15.75" customHeight="1">
      <c r="B911" s="4"/>
      <c r="C911" s="4"/>
      <c r="D911" s="4"/>
      <c r="E911" s="4"/>
    </row>
    <row r="912" ht="15.75" customHeight="1">
      <c r="B912" s="4"/>
      <c r="C912" s="4"/>
      <c r="D912" s="4"/>
      <c r="E912" s="4"/>
    </row>
    <row r="913" ht="15.75" customHeight="1">
      <c r="B913" s="4"/>
      <c r="C913" s="4"/>
      <c r="D913" s="4"/>
      <c r="E913" s="4"/>
    </row>
    <row r="914" ht="15.75" customHeight="1">
      <c r="B914" s="4"/>
      <c r="C914" s="4"/>
      <c r="D914" s="4"/>
      <c r="E914" s="4"/>
    </row>
    <row r="915" ht="15.75" customHeight="1">
      <c r="B915" s="4"/>
      <c r="C915" s="4"/>
      <c r="D915" s="4"/>
      <c r="E915" s="4"/>
    </row>
    <row r="916" ht="15.75" customHeight="1">
      <c r="B916" s="4"/>
      <c r="C916" s="4"/>
      <c r="D916" s="4"/>
      <c r="E916" s="4"/>
    </row>
    <row r="917" ht="15.75" customHeight="1">
      <c r="B917" s="4"/>
      <c r="C917" s="4"/>
      <c r="D917" s="4"/>
      <c r="E917" s="4"/>
    </row>
    <row r="918" ht="15.75" customHeight="1">
      <c r="B918" s="4"/>
      <c r="C918" s="4"/>
      <c r="D918" s="4"/>
      <c r="E918" s="4"/>
    </row>
    <row r="919" ht="15.75" customHeight="1">
      <c r="B919" s="4"/>
      <c r="C919" s="4"/>
      <c r="D919" s="4"/>
      <c r="E919" s="4"/>
    </row>
    <row r="920" ht="15.75" customHeight="1">
      <c r="B920" s="4"/>
      <c r="C920" s="4"/>
      <c r="D920" s="4"/>
      <c r="E920" s="4"/>
    </row>
    <row r="921" ht="15.75" customHeight="1">
      <c r="B921" s="4"/>
      <c r="C921" s="4"/>
      <c r="D921" s="4"/>
      <c r="E921" s="4"/>
    </row>
    <row r="922" ht="15.75" customHeight="1">
      <c r="B922" s="4"/>
      <c r="C922" s="4"/>
      <c r="D922" s="4"/>
      <c r="E922" s="4"/>
    </row>
    <row r="923" ht="15.75" customHeight="1">
      <c r="B923" s="4"/>
      <c r="C923" s="4"/>
      <c r="D923" s="4"/>
      <c r="E923" s="4"/>
    </row>
    <row r="924" ht="15.75" customHeight="1">
      <c r="B924" s="4"/>
      <c r="C924" s="4"/>
      <c r="D924" s="4"/>
      <c r="E924" s="4"/>
    </row>
    <row r="925" ht="15.75" customHeight="1">
      <c r="B925" s="4"/>
      <c r="C925" s="4"/>
      <c r="D925" s="4"/>
      <c r="E925" s="4"/>
    </row>
    <row r="926" ht="15.75" customHeight="1">
      <c r="B926" s="4"/>
      <c r="C926" s="4"/>
      <c r="D926" s="4"/>
      <c r="E926" s="4"/>
    </row>
    <row r="927" ht="15.75" customHeight="1">
      <c r="B927" s="4"/>
      <c r="C927" s="4"/>
      <c r="D927" s="4"/>
      <c r="E927" s="4"/>
    </row>
    <row r="928" ht="15.75" customHeight="1">
      <c r="B928" s="4"/>
      <c r="C928" s="4"/>
      <c r="D928" s="4"/>
      <c r="E928" s="4"/>
    </row>
    <row r="929" ht="15.75" customHeight="1">
      <c r="B929" s="4"/>
      <c r="C929" s="4"/>
      <c r="D929" s="4"/>
      <c r="E929" s="4"/>
    </row>
    <row r="930" ht="15.75" customHeight="1">
      <c r="B930" s="4"/>
      <c r="C930" s="4"/>
      <c r="D930" s="4"/>
      <c r="E930" s="4"/>
    </row>
    <row r="931" ht="15.75" customHeight="1">
      <c r="B931" s="4"/>
      <c r="C931" s="4"/>
      <c r="D931" s="4"/>
      <c r="E931" s="4"/>
    </row>
    <row r="932" ht="15.75" customHeight="1">
      <c r="B932" s="4"/>
      <c r="C932" s="4"/>
      <c r="D932" s="4"/>
      <c r="E932" s="4"/>
    </row>
    <row r="933" ht="15.75" customHeight="1">
      <c r="B933" s="4"/>
      <c r="C933" s="4"/>
      <c r="D933" s="4"/>
      <c r="E933" s="4"/>
    </row>
    <row r="934" ht="15.75" customHeight="1">
      <c r="B934" s="4"/>
      <c r="C934" s="4"/>
      <c r="D934" s="4"/>
      <c r="E934" s="4"/>
    </row>
    <row r="935" ht="15.75" customHeight="1">
      <c r="B935" s="4"/>
      <c r="C935" s="4"/>
      <c r="D935" s="4"/>
      <c r="E935" s="4"/>
    </row>
    <row r="936" ht="15.75" customHeight="1">
      <c r="B936" s="4"/>
      <c r="C936" s="4"/>
      <c r="D936" s="4"/>
      <c r="E936" s="4"/>
    </row>
    <row r="937" ht="15.75" customHeight="1">
      <c r="B937" s="4"/>
      <c r="C937" s="4"/>
      <c r="D937" s="4"/>
      <c r="E937" s="4"/>
    </row>
    <row r="938" ht="15.75" customHeight="1">
      <c r="B938" s="4"/>
      <c r="C938" s="4"/>
      <c r="D938" s="4"/>
      <c r="E938" s="4"/>
    </row>
    <row r="939" ht="15.75" customHeight="1">
      <c r="B939" s="4"/>
      <c r="C939" s="4"/>
      <c r="D939" s="4"/>
      <c r="E939" s="4"/>
    </row>
    <row r="940" ht="15.75" customHeight="1">
      <c r="B940" s="4"/>
      <c r="C940" s="4"/>
      <c r="D940" s="4"/>
      <c r="E940" s="4"/>
    </row>
    <row r="941" ht="15.75" customHeight="1">
      <c r="B941" s="4"/>
      <c r="C941" s="4"/>
      <c r="D941" s="4"/>
      <c r="E941" s="4"/>
    </row>
    <row r="942" ht="15.75" customHeight="1">
      <c r="B942" s="4"/>
      <c r="C942" s="4"/>
      <c r="D942" s="4"/>
      <c r="E942" s="4"/>
    </row>
    <row r="943" ht="15.75" customHeight="1">
      <c r="B943" s="4"/>
      <c r="C943" s="4"/>
      <c r="D943" s="4"/>
      <c r="E943" s="4"/>
    </row>
    <row r="944" ht="15.75" customHeight="1">
      <c r="B944" s="4"/>
      <c r="C944" s="4"/>
      <c r="D944" s="4"/>
      <c r="E944" s="4"/>
    </row>
    <row r="945" ht="15.75" customHeight="1">
      <c r="B945" s="4"/>
      <c r="C945" s="4"/>
      <c r="D945" s="4"/>
      <c r="E945" s="4"/>
    </row>
    <row r="946" ht="15.75" customHeight="1">
      <c r="B946" s="4"/>
      <c r="C946" s="4"/>
      <c r="D946" s="4"/>
      <c r="E946" s="4"/>
    </row>
    <row r="947" ht="15.75" customHeight="1">
      <c r="B947" s="4"/>
      <c r="C947" s="4"/>
      <c r="D947" s="4"/>
      <c r="E947" s="4"/>
    </row>
    <row r="948" ht="15.75" customHeight="1">
      <c r="B948" s="4"/>
      <c r="C948" s="4"/>
      <c r="D948" s="4"/>
      <c r="E948" s="4"/>
    </row>
    <row r="949" ht="15.75" customHeight="1">
      <c r="B949" s="4"/>
      <c r="C949" s="4"/>
      <c r="D949" s="4"/>
      <c r="E949" s="4"/>
    </row>
    <row r="950" ht="15.75" customHeight="1">
      <c r="B950" s="4"/>
      <c r="C950" s="4"/>
      <c r="D950" s="4"/>
      <c r="E950" s="4"/>
    </row>
    <row r="951" ht="15.75" customHeight="1">
      <c r="B951" s="4"/>
      <c r="C951" s="4"/>
      <c r="D951" s="4"/>
      <c r="E951" s="4"/>
    </row>
    <row r="952" ht="15.75" customHeight="1">
      <c r="B952" s="4"/>
      <c r="C952" s="4"/>
      <c r="D952" s="4"/>
      <c r="E952" s="4"/>
    </row>
    <row r="953" ht="15.75" customHeight="1">
      <c r="B953" s="4"/>
      <c r="C953" s="4"/>
      <c r="D953" s="4"/>
      <c r="E953" s="4"/>
    </row>
    <row r="954" ht="15.75" customHeight="1">
      <c r="B954" s="4"/>
      <c r="C954" s="4"/>
      <c r="D954" s="4"/>
      <c r="E954" s="4"/>
    </row>
    <row r="955" ht="15.75" customHeight="1">
      <c r="B955" s="4"/>
      <c r="C955" s="4"/>
      <c r="D955" s="4"/>
      <c r="E955" s="4"/>
    </row>
    <row r="956" ht="15.75" customHeight="1">
      <c r="B956" s="4"/>
      <c r="C956" s="4"/>
      <c r="D956" s="4"/>
      <c r="E956" s="4"/>
    </row>
    <row r="957" ht="15.75" customHeight="1">
      <c r="B957" s="4"/>
      <c r="C957" s="4"/>
      <c r="D957" s="4"/>
      <c r="E957" s="4"/>
    </row>
    <row r="958" ht="15.75" customHeight="1">
      <c r="B958" s="4"/>
      <c r="C958" s="4"/>
      <c r="D958" s="4"/>
      <c r="E958" s="4"/>
    </row>
    <row r="959" ht="15.75" customHeight="1">
      <c r="B959" s="4"/>
      <c r="C959" s="4"/>
      <c r="D959" s="4"/>
      <c r="E959" s="4"/>
    </row>
    <row r="960" ht="15.75" customHeight="1">
      <c r="B960" s="4"/>
      <c r="C960" s="4"/>
      <c r="D960" s="4"/>
      <c r="E960" s="4"/>
    </row>
    <row r="961" ht="15.75" customHeight="1">
      <c r="B961" s="4"/>
      <c r="C961" s="4"/>
      <c r="D961" s="4"/>
      <c r="E961" s="4"/>
    </row>
    <row r="962" ht="15.75" customHeight="1">
      <c r="B962" s="4"/>
      <c r="C962" s="4"/>
      <c r="D962" s="4"/>
      <c r="E962" s="4"/>
    </row>
    <row r="963" ht="15.75" customHeight="1">
      <c r="B963" s="4"/>
      <c r="C963" s="4"/>
      <c r="D963" s="4"/>
      <c r="E963" s="4"/>
    </row>
    <row r="964" ht="15.75" customHeight="1">
      <c r="B964" s="4"/>
      <c r="C964" s="4"/>
      <c r="D964" s="4"/>
      <c r="E964" s="4"/>
    </row>
    <row r="965" ht="15.75" customHeight="1">
      <c r="B965" s="4"/>
      <c r="C965" s="4"/>
      <c r="D965" s="4"/>
      <c r="E965" s="4"/>
    </row>
    <row r="966" ht="15.75" customHeight="1">
      <c r="B966" s="4"/>
      <c r="C966" s="4"/>
      <c r="D966" s="4"/>
      <c r="E966" s="4"/>
    </row>
    <row r="967" ht="15.75" customHeight="1">
      <c r="B967" s="4"/>
      <c r="C967" s="4"/>
      <c r="D967" s="4"/>
      <c r="E967" s="4"/>
    </row>
    <row r="968" ht="15.75" customHeight="1">
      <c r="B968" s="4"/>
      <c r="C968" s="4"/>
      <c r="D968" s="4"/>
      <c r="E968" s="4"/>
    </row>
    <row r="969" ht="15.75" customHeight="1">
      <c r="B969" s="4"/>
      <c r="C969" s="4"/>
      <c r="D969" s="4"/>
      <c r="E969" s="4"/>
    </row>
    <row r="970" ht="15.75" customHeight="1">
      <c r="B970" s="4"/>
      <c r="C970" s="4"/>
      <c r="D970" s="4"/>
      <c r="E970" s="4"/>
    </row>
    <row r="971" ht="15.75" customHeight="1">
      <c r="B971" s="4"/>
      <c r="C971" s="4"/>
      <c r="D971" s="4"/>
      <c r="E971" s="4"/>
    </row>
    <row r="972" ht="15.75" customHeight="1">
      <c r="B972" s="4"/>
      <c r="C972" s="4"/>
      <c r="D972" s="4"/>
      <c r="E972" s="4"/>
    </row>
    <row r="973" ht="15.75" customHeight="1">
      <c r="B973" s="4"/>
      <c r="C973" s="4"/>
      <c r="D973" s="4"/>
      <c r="E973" s="4"/>
    </row>
    <row r="974" ht="15.75" customHeight="1">
      <c r="B974" s="4"/>
      <c r="C974" s="4"/>
      <c r="D974" s="4"/>
      <c r="E974" s="4"/>
    </row>
    <row r="975" ht="15.75" customHeight="1">
      <c r="B975" s="4"/>
      <c r="C975" s="4"/>
      <c r="D975" s="4"/>
      <c r="E975" s="4"/>
    </row>
    <row r="976" ht="15.75" customHeight="1">
      <c r="B976" s="4"/>
      <c r="C976" s="4"/>
      <c r="D976" s="4"/>
      <c r="E976" s="4"/>
    </row>
    <row r="977" ht="15.75" customHeight="1">
      <c r="B977" s="4"/>
      <c r="C977" s="4"/>
      <c r="D977" s="4"/>
      <c r="E977" s="4"/>
    </row>
    <row r="978" ht="15.75" customHeight="1">
      <c r="B978" s="4"/>
      <c r="C978" s="4"/>
      <c r="D978" s="4"/>
      <c r="E978" s="4"/>
    </row>
    <row r="979" ht="15.75" customHeight="1">
      <c r="B979" s="4"/>
      <c r="C979" s="4"/>
      <c r="D979" s="4"/>
      <c r="E979" s="4"/>
    </row>
    <row r="980" ht="15.75" customHeight="1">
      <c r="B980" s="4"/>
      <c r="C980" s="4"/>
      <c r="D980" s="4"/>
      <c r="E980" s="4"/>
    </row>
    <row r="981" ht="15.75" customHeight="1">
      <c r="B981" s="4"/>
      <c r="C981" s="4"/>
      <c r="D981" s="4"/>
      <c r="E981" s="4"/>
    </row>
    <row r="982" ht="15.75" customHeight="1">
      <c r="B982" s="4"/>
      <c r="C982" s="4"/>
      <c r="D982" s="4"/>
      <c r="E982" s="4"/>
    </row>
    <row r="983" ht="15.75" customHeight="1">
      <c r="B983" s="4"/>
      <c r="C983" s="4"/>
      <c r="D983" s="4"/>
      <c r="E983" s="4"/>
    </row>
    <row r="984" ht="15.75" customHeight="1">
      <c r="B984" s="4"/>
      <c r="C984" s="4"/>
      <c r="D984" s="4"/>
      <c r="E984" s="4"/>
    </row>
    <row r="985" ht="15.75" customHeight="1">
      <c r="B985" s="4"/>
      <c r="C985" s="4"/>
      <c r="D985" s="4"/>
      <c r="E985" s="4"/>
    </row>
    <row r="986" ht="15.75" customHeight="1">
      <c r="B986" s="4"/>
      <c r="C986" s="4"/>
      <c r="D986" s="4"/>
      <c r="E986" s="4"/>
    </row>
    <row r="987" ht="15.75" customHeight="1">
      <c r="B987" s="4"/>
      <c r="C987" s="4"/>
      <c r="D987" s="4"/>
      <c r="E987" s="4"/>
    </row>
    <row r="988" ht="15.75" customHeight="1">
      <c r="B988" s="4"/>
      <c r="C988" s="4"/>
      <c r="D988" s="4"/>
      <c r="E988" s="4"/>
    </row>
    <row r="989" ht="15.75" customHeight="1">
      <c r="B989" s="4"/>
      <c r="C989" s="4"/>
      <c r="D989" s="4"/>
      <c r="E989" s="4"/>
    </row>
    <row r="990" ht="15.75" customHeight="1">
      <c r="B990" s="4"/>
      <c r="C990" s="4"/>
      <c r="D990" s="4"/>
      <c r="E990" s="4"/>
    </row>
    <row r="991" ht="15.75" customHeight="1">
      <c r="B991" s="4"/>
      <c r="C991" s="4"/>
      <c r="D991" s="4"/>
      <c r="E991" s="4"/>
    </row>
    <row r="992" ht="15.75" customHeight="1">
      <c r="B992" s="4"/>
      <c r="C992" s="4"/>
      <c r="D992" s="4"/>
      <c r="E992" s="4"/>
    </row>
    <row r="993" ht="15.75" customHeight="1">
      <c r="B993" s="4"/>
      <c r="C993" s="4"/>
      <c r="D993" s="4"/>
      <c r="E993" s="4"/>
    </row>
    <row r="994" ht="15.75" customHeight="1">
      <c r="B994" s="4"/>
      <c r="C994" s="4"/>
      <c r="D994" s="4"/>
      <c r="E994" s="4"/>
    </row>
    <row r="995" ht="15.75" customHeight="1">
      <c r="B995" s="4"/>
      <c r="C995" s="4"/>
      <c r="D995" s="4"/>
      <c r="E995" s="4"/>
    </row>
    <row r="996" ht="15.75" customHeight="1">
      <c r="B996" s="4"/>
      <c r="C996" s="4"/>
      <c r="D996" s="4"/>
      <c r="E996" s="4"/>
    </row>
    <row r="997" ht="15.75" customHeight="1">
      <c r="B997" s="4"/>
      <c r="C997" s="4"/>
      <c r="D997" s="4"/>
      <c r="E997" s="4"/>
    </row>
    <row r="998" ht="15.75" customHeight="1">
      <c r="B998" s="4"/>
      <c r="C998" s="4"/>
      <c r="D998" s="4"/>
      <c r="E998" s="4"/>
    </row>
    <row r="999" ht="15.75" customHeight="1">
      <c r="B999" s="4"/>
      <c r="C999" s="4"/>
      <c r="D999" s="4"/>
      <c r="E999" s="4"/>
    </row>
    <row r="1000" ht="15.75" customHeight="1">
      <c r="B1000" s="4"/>
      <c r="C1000" s="4"/>
      <c r="D1000" s="4"/>
      <c r="E1000" s="4"/>
    </row>
  </sheetData>
  <mergeCells count="14">
    <mergeCell ref="F14:F23"/>
    <mergeCell ref="F25:F34"/>
    <mergeCell ref="F36:F45"/>
    <mergeCell ref="F47:F56"/>
    <mergeCell ref="F58:F67"/>
    <mergeCell ref="F69:F78"/>
    <mergeCell ref="F80:F89"/>
    <mergeCell ref="A1:A2"/>
    <mergeCell ref="B1:B2"/>
    <mergeCell ref="C1:C2"/>
    <mergeCell ref="D1:D2"/>
    <mergeCell ref="E1:E2"/>
    <mergeCell ref="F1:F2"/>
    <mergeCell ref="F3:F1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7346"/>
    <pageSetUpPr/>
  </sheetPr>
  <sheetViews>
    <sheetView showGridLines="0"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4.43" defaultRowHeight="15.0"/>
  <cols>
    <col customWidth="1" min="1" max="1" width="5.0"/>
    <col customWidth="1" min="2" max="2" width="14.71"/>
    <col customWidth="1" min="3" max="3" width="34.57"/>
    <col customWidth="1" min="4" max="4" width="23.0"/>
    <col customWidth="1" min="5" max="5" width="33.0"/>
    <col customWidth="1" min="6" max="6" width="20.43"/>
    <col customWidth="1" min="7" max="10" width="7.0"/>
    <col customWidth="1" min="11" max="11" width="8.0"/>
    <col customWidth="1" min="12" max="13" width="8.57"/>
    <col customWidth="1" min="14" max="16" width="12.0"/>
    <col customWidth="1" min="17" max="18" width="14.0"/>
  </cols>
  <sheetData>
    <row r="1" ht="45.75" customHeight="1">
      <c r="A1" s="107" t="s">
        <v>417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4"/>
      <c r="U1" s="108"/>
    </row>
    <row r="2" ht="21.75" customHeight="1">
      <c r="A2" s="109" t="s">
        <v>418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4"/>
      <c r="U2" s="110"/>
    </row>
    <row r="3" ht="18.0" customHeight="1">
      <c r="A3" s="111" t="s">
        <v>419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4"/>
      <c r="U3" s="112"/>
    </row>
    <row r="4" ht="4.5" customHeight="1">
      <c r="A4" s="11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  <c r="R4" s="4"/>
      <c r="U4" s="114"/>
    </row>
    <row r="5" ht="19.5" customHeight="1">
      <c r="A5" s="115" t="s">
        <v>157</v>
      </c>
      <c r="B5" s="115" t="s">
        <v>158</v>
      </c>
      <c r="C5" s="116" t="s">
        <v>420</v>
      </c>
      <c r="D5" s="116" t="s">
        <v>160</v>
      </c>
      <c r="E5" s="115" t="s">
        <v>421</v>
      </c>
      <c r="F5" s="115" t="s">
        <v>422</v>
      </c>
      <c r="G5" s="117" t="s">
        <v>58</v>
      </c>
      <c r="H5" s="117" t="s">
        <v>61</v>
      </c>
      <c r="I5" s="117" t="s">
        <v>64</v>
      </c>
      <c r="J5" s="117" t="s">
        <v>67</v>
      </c>
      <c r="K5" s="117" t="s">
        <v>70</v>
      </c>
      <c r="L5" s="117" t="s">
        <v>73</v>
      </c>
      <c r="M5" s="117" t="s">
        <v>76</v>
      </c>
      <c r="N5" s="117" t="s">
        <v>79</v>
      </c>
      <c r="O5" s="117" t="s">
        <v>82</v>
      </c>
      <c r="P5" s="117" t="s">
        <v>83</v>
      </c>
      <c r="Q5" s="118" t="s">
        <v>423</v>
      </c>
      <c r="R5" s="119" t="s">
        <v>424</v>
      </c>
      <c r="S5" s="120" t="s">
        <v>425</v>
      </c>
      <c r="T5" s="120" t="s">
        <v>426</v>
      </c>
      <c r="U5" s="121"/>
    </row>
    <row r="6" ht="27.75" customHeight="1">
      <c r="A6" s="122"/>
      <c r="B6" s="122"/>
      <c r="C6" s="122"/>
      <c r="D6" s="122"/>
      <c r="E6" s="122"/>
      <c r="F6" s="122"/>
      <c r="G6" s="123" t="s">
        <v>163</v>
      </c>
      <c r="H6" s="123" t="s">
        <v>163</v>
      </c>
      <c r="I6" s="123" t="s">
        <v>163</v>
      </c>
      <c r="J6" s="123" t="s">
        <v>163</v>
      </c>
      <c r="K6" s="123" t="s">
        <v>163</v>
      </c>
      <c r="L6" s="123" t="s">
        <v>163</v>
      </c>
      <c r="M6" s="123" t="s">
        <v>163</v>
      </c>
      <c r="N6" s="4"/>
      <c r="O6" s="4"/>
      <c r="P6" s="4"/>
      <c r="Q6" s="124"/>
      <c r="R6" s="124"/>
      <c r="S6" s="124"/>
      <c r="T6" s="124"/>
      <c r="U6" s="121"/>
    </row>
    <row r="7" ht="21.75" customHeight="1">
      <c r="A7" s="125">
        <v>1.0</v>
      </c>
      <c r="B7" s="96" t="s">
        <v>164</v>
      </c>
      <c r="C7" s="97" t="s">
        <v>165</v>
      </c>
      <c r="D7" s="97" t="s">
        <v>166</v>
      </c>
      <c r="E7" s="126"/>
      <c r="F7" s="127"/>
      <c r="G7" s="128" t="str">
        <f t="array" ref="G7">IFERROR(INDEX('Mr Sandeep Kumar'!G:G,MATCH($B7,'Mr Sandeep Kumar'!$B:$B,0)),IFERROR(INDEX('Mr Manu Vikraman'!G:G,MATCH($B7,'Mr Manu Vikraman'!$B:$B,0)),""))</f>
        <v/>
      </c>
      <c r="H7" s="128" t="str">
        <f t="array" ref="H7">IFERROR(INDEX('Mr Sandeep Kumar'!H:H,MATCH($B7,'Mr Sandeep Kumar'!$B:$B,0)),IFERROR(INDEX('Mr Manu Vikraman'!H:H,MATCH($B7,'Mr Manu Vikraman'!$B:$B,0)),""))</f>
        <v/>
      </c>
      <c r="I7" s="128" t="str">
        <f t="array" ref="I7">IFERROR(INDEX('Mr Sandeep Kumar'!I:I,MATCH($B7,'Mr Sandeep Kumar'!$B:$B,0)),IFERROR(INDEX('Mr Manu Vikraman'!I:I,MATCH($B7,'Mr Manu Vikraman'!$B:$B,0)),""))</f>
        <v/>
      </c>
      <c r="J7" s="128" t="str">
        <f t="array" ref="J7">IFERROR(INDEX('Mr Sandeep Kumar'!J:J,MATCH($B7,'Mr Sandeep Kumar'!$B:$B,0)),IFERROR(INDEX('Mr Manu Vikraman'!J:J,MATCH($B7,'Mr Manu Vikraman'!$B:$B,0)),""))</f>
        <v/>
      </c>
      <c r="K7" s="128" t="str">
        <f t="array" ref="K7">IFERROR(INDEX('Mr Sandeep Kumar'!K:K,MATCH($B7,'Mr Sandeep Kumar'!$B:$B,0)),IFERROR(INDEX('Mr Manu Vikraman'!K:K,MATCH($B7,'Mr Manu Vikraman'!$B:$B,0)),""))</f>
        <v/>
      </c>
      <c r="L7" s="128" t="str">
        <f t="array" ref="L7">IFERROR(INDEX('Mr Sandeep Kumar'!L:L,MATCH($B7,'Mr Sandeep Kumar'!$B:$B,0)),IFERROR(INDEX('Mr Manu Vikraman'!L:L,MATCH($B7,'Mr Manu Vikraman'!$B:$B,0)),""))</f>
        <v/>
      </c>
      <c r="M7" s="128" t="str">
        <f t="array" ref="M7">IFERROR(INDEX('Mr Sandeep Kumar'!M:M,MATCH($B7,'Mr Sandeep Kumar'!$B:$B,0)),IFERROR(INDEX('Mr Manu Vikraman'!M:M,MATCH($B7,'Mr Manu Vikraman'!$B:$B,0)),""))</f>
        <v/>
      </c>
      <c r="N7" s="128" t="str">
        <f t="array" ref="N7">IFERROR(INDEX('Mr Sandeep Kumar'!N:N,MATCH($B7,'Mr Sandeep Kumar'!$B:$B,0)),IFERROR(INDEX('Mr Manu Vikraman'!N:N,MATCH($B7,'Mr Manu Vikraman'!$B:$B,0)),""))</f>
        <v/>
      </c>
      <c r="O7" s="128" t="str">
        <f t="array" ref="O7">IFERROR(INDEX('Mr Sandeep Kumar'!O:O,MATCH($B7,'Mr Sandeep Kumar'!$B:$B,0)),IFERROR(INDEX('Mr Manu Vikraman'!O:O,MATCH($B7,'Mr Manu Vikraman'!$B:$B,0)),""))</f>
        <v/>
      </c>
      <c r="P7" s="128" t="str">
        <f t="array" ref="P7">IFERROR(INDEX('Mr Sandeep Kumar'!P:P,MATCH($B7,'Mr Sandeep Kumar'!$B:$B,0)),IFERROR(INDEX('Mr Manu Vikraman'!P:P,MATCH($B7,'Mr Manu Vikraman'!$B:$B,0)),""))</f>
        <v/>
      </c>
      <c r="Q7" s="129">
        <f t="shared" ref="Q7:Q176" si="1">IFERROR(SUM(G7:P7),0)</f>
        <v>0</v>
      </c>
      <c r="R7" s="130">
        <f t="shared" ref="R7:R176" si="2">IFERROR(Q7/IF(COUNTIF(G7:P7,"&gt;0")=0,1,COUNTIF(G7:P7,"&gt;0")),0)</f>
        <v>0</v>
      </c>
      <c r="S7" s="131" t="str">
        <f t="shared" ref="S7:S176" si="3">IF(R7&gt;=9,"A+",IF(R7&gt;=8,"A",IF(R7&gt;=7,"B+",IF(R7&gt;=6,"B",IF(R7&gt;=5,"C","D")))))</f>
        <v>D</v>
      </c>
      <c r="T7" s="131" t="str">
        <f t="shared" ref="T7:T176" si="4">IF(COUNTIF(G7:P7,"&gt;0")=10,"Completed",IF(COUNTIF(G7:P7,"&gt;0")&gt;=5,"In Progress",IF(COUNTIF(G7:P7,"&gt;0")&gt;0,"Started","Not Started")))</f>
        <v>Not Started</v>
      </c>
      <c r="U7" s="132"/>
    </row>
    <row r="8" ht="21.75" customHeight="1">
      <c r="A8" s="125">
        <v>2.0</v>
      </c>
      <c r="B8" s="96" t="s">
        <v>168</v>
      </c>
      <c r="C8" s="97" t="s">
        <v>169</v>
      </c>
      <c r="D8" s="97" t="s">
        <v>170</v>
      </c>
      <c r="E8" s="126"/>
      <c r="F8" s="127"/>
      <c r="G8" s="128" t="str">
        <f t="array" ref="G8">IFERROR(INDEX('Mr Sandeep Kumar'!G:G,MATCH($B8,'Mr Sandeep Kumar'!$B:$B,0)),IFERROR(INDEX('Mr Manu Vikraman'!G:G,MATCH($B8,'Mr Manu Vikraman'!$B:$B,0)),""))</f>
        <v/>
      </c>
      <c r="H8" s="128" t="str">
        <f t="array" ref="H8">IFERROR(INDEX('Mr Sandeep Kumar'!H:H,MATCH($B8,'Mr Sandeep Kumar'!$B:$B,0)),IFERROR(INDEX('Mr Manu Vikraman'!H:H,MATCH($B8,'Mr Manu Vikraman'!$B:$B,0)),""))</f>
        <v/>
      </c>
      <c r="I8" s="128" t="str">
        <f t="array" ref="I8">IFERROR(INDEX('Mr Sandeep Kumar'!I:I,MATCH($B8,'Mr Sandeep Kumar'!$B:$B,0)),IFERROR(INDEX('Mr Manu Vikraman'!I:I,MATCH($B8,'Mr Manu Vikraman'!$B:$B,0)),""))</f>
        <v/>
      </c>
      <c r="J8" s="128" t="str">
        <f t="array" ref="J8">IFERROR(INDEX('Mr Sandeep Kumar'!J:J,MATCH($B8,'Mr Sandeep Kumar'!$B:$B,0)),IFERROR(INDEX('Mr Manu Vikraman'!J:J,MATCH($B8,'Mr Manu Vikraman'!$B:$B,0)),""))</f>
        <v/>
      </c>
      <c r="K8" s="128" t="str">
        <f t="array" ref="K8">IFERROR(INDEX('Mr Sandeep Kumar'!K:K,MATCH($B8,'Mr Sandeep Kumar'!$B:$B,0)),IFERROR(INDEX('Mr Manu Vikraman'!K:K,MATCH($B8,'Mr Manu Vikraman'!$B:$B,0)),""))</f>
        <v/>
      </c>
      <c r="L8" s="128" t="str">
        <f t="array" ref="L8">IFERROR(INDEX('Mr Sandeep Kumar'!L:L,MATCH($B8,'Mr Sandeep Kumar'!$B:$B,0)),IFERROR(INDEX('Mr Manu Vikraman'!L:L,MATCH($B8,'Mr Manu Vikraman'!$B:$B,0)),""))</f>
        <v/>
      </c>
      <c r="M8" s="128" t="str">
        <f t="array" ref="M8">IFERROR(INDEX('Mr Sandeep Kumar'!M:M,MATCH($B8,'Mr Sandeep Kumar'!$B:$B,0)),IFERROR(INDEX('Mr Manu Vikraman'!M:M,MATCH($B8,'Mr Manu Vikraman'!$B:$B,0)),""))</f>
        <v/>
      </c>
      <c r="N8" s="128" t="str">
        <f t="array" ref="N8">IFERROR(INDEX('Mr Sandeep Kumar'!N:N,MATCH($B8,'Mr Sandeep Kumar'!$B:$B,0)),IFERROR(INDEX('Mr Manu Vikraman'!N:N,MATCH($B8,'Mr Manu Vikraman'!$B:$B,0)),""))</f>
        <v/>
      </c>
      <c r="O8" s="128" t="str">
        <f t="array" ref="O8">IFERROR(INDEX('Mr Sandeep Kumar'!O:O,MATCH($B8,'Mr Sandeep Kumar'!$B:$B,0)),IFERROR(INDEX('Mr Manu Vikraman'!O:O,MATCH($B8,'Mr Manu Vikraman'!$B:$B,0)),""))</f>
        <v/>
      </c>
      <c r="P8" s="128" t="str">
        <f t="array" ref="P8">IFERROR(INDEX('Mr Sandeep Kumar'!P:P,MATCH($B8,'Mr Sandeep Kumar'!$B:$B,0)),IFERROR(INDEX('Mr Manu Vikraman'!P:P,MATCH($B8,'Mr Manu Vikraman'!$B:$B,0)),""))</f>
        <v/>
      </c>
      <c r="Q8" s="129">
        <f t="shared" si="1"/>
        <v>0</v>
      </c>
      <c r="R8" s="130">
        <f t="shared" si="2"/>
        <v>0</v>
      </c>
      <c r="S8" s="131" t="str">
        <f t="shared" si="3"/>
        <v>D</v>
      </c>
      <c r="T8" s="131" t="str">
        <f t="shared" si="4"/>
        <v>Not Started</v>
      </c>
      <c r="U8" s="132"/>
    </row>
    <row r="9" ht="21.75" customHeight="1">
      <c r="A9" s="125">
        <v>3.0</v>
      </c>
      <c r="B9" s="96" t="s">
        <v>171</v>
      </c>
      <c r="C9" s="97" t="s">
        <v>172</v>
      </c>
      <c r="D9" s="97" t="s">
        <v>173</v>
      </c>
      <c r="E9" s="126"/>
      <c r="F9" s="127"/>
      <c r="G9" s="128" t="str">
        <f t="array" ref="G9">IFERROR(INDEX('Mr Sandeep Kumar'!G:G,MATCH($B9,'Mr Sandeep Kumar'!$B:$B,0)),IFERROR(INDEX('Mr Manu Vikraman'!G:G,MATCH($B9,'Mr Manu Vikraman'!$B:$B,0)),""))</f>
        <v/>
      </c>
      <c r="H9" s="128" t="str">
        <f t="array" ref="H9">IFERROR(INDEX('Mr Sandeep Kumar'!H:H,MATCH($B9,'Mr Sandeep Kumar'!$B:$B,0)),IFERROR(INDEX('Mr Manu Vikraman'!H:H,MATCH($B9,'Mr Manu Vikraman'!$B:$B,0)),""))</f>
        <v/>
      </c>
      <c r="I9" s="128" t="str">
        <f t="array" ref="I9">IFERROR(INDEX('Mr Sandeep Kumar'!I:I,MATCH($B9,'Mr Sandeep Kumar'!$B:$B,0)),IFERROR(INDEX('Mr Manu Vikraman'!I:I,MATCH($B9,'Mr Manu Vikraman'!$B:$B,0)),""))</f>
        <v/>
      </c>
      <c r="J9" s="128" t="str">
        <f t="array" ref="J9">IFERROR(INDEX('Mr Sandeep Kumar'!J:J,MATCH($B9,'Mr Sandeep Kumar'!$B:$B,0)),IFERROR(INDEX('Mr Manu Vikraman'!J:J,MATCH($B9,'Mr Manu Vikraman'!$B:$B,0)),""))</f>
        <v/>
      </c>
      <c r="K9" s="128" t="str">
        <f t="array" ref="K9">IFERROR(INDEX('Mr Sandeep Kumar'!K:K,MATCH($B9,'Mr Sandeep Kumar'!$B:$B,0)),IFERROR(INDEX('Mr Manu Vikraman'!K:K,MATCH($B9,'Mr Manu Vikraman'!$B:$B,0)),""))</f>
        <v/>
      </c>
      <c r="L9" s="128" t="str">
        <f t="array" ref="L9">IFERROR(INDEX('Mr Sandeep Kumar'!L:L,MATCH($B9,'Mr Sandeep Kumar'!$B:$B,0)),IFERROR(INDEX('Mr Manu Vikraman'!L:L,MATCH($B9,'Mr Manu Vikraman'!$B:$B,0)),""))</f>
        <v/>
      </c>
      <c r="M9" s="128" t="str">
        <f t="array" ref="M9">IFERROR(INDEX('Mr Sandeep Kumar'!M:M,MATCH($B9,'Mr Sandeep Kumar'!$B:$B,0)),IFERROR(INDEX('Mr Manu Vikraman'!M:M,MATCH($B9,'Mr Manu Vikraman'!$B:$B,0)),""))</f>
        <v/>
      </c>
      <c r="N9" s="128" t="str">
        <f t="array" ref="N9">IFERROR(INDEX('Mr Sandeep Kumar'!N:N,MATCH($B9,'Mr Sandeep Kumar'!$B:$B,0)),IFERROR(INDEX('Mr Manu Vikraman'!N:N,MATCH($B9,'Mr Manu Vikraman'!$B:$B,0)),""))</f>
        <v/>
      </c>
      <c r="O9" s="128" t="str">
        <f t="array" ref="O9">IFERROR(INDEX('Mr Sandeep Kumar'!O:O,MATCH($B9,'Mr Sandeep Kumar'!$B:$B,0)),IFERROR(INDEX('Mr Manu Vikraman'!O:O,MATCH($B9,'Mr Manu Vikraman'!$B:$B,0)),""))</f>
        <v/>
      </c>
      <c r="P9" s="128" t="str">
        <f t="array" ref="P9">IFERROR(INDEX('Mr Sandeep Kumar'!P:P,MATCH($B9,'Mr Sandeep Kumar'!$B:$B,0)),IFERROR(INDEX('Mr Manu Vikraman'!P:P,MATCH($B9,'Mr Manu Vikraman'!$B:$B,0)),""))</f>
        <v/>
      </c>
      <c r="Q9" s="129">
        <f t="shared" si="1"/>
        <v>0</v>
      </c>
      <c r="R9" s="130">
        <f t="shared" si="2"/>
        <v>0</v>
      </c>
      <c r="S9" s="131" t="str">
        <f t="shared" si="3"/>
        <v>D</v>
      </c>
      <c r="T9" s="131" t="str">
        <f t="shared" si="4"/>
        <v>Not Started</v>
      </c>
      <c r="U9" s="132"/>
    </row>
    <row r="10" ht="21.75" customHeight="1">
      <c r="A10" s="125">
        <v>4.0</v>
      </c>
      <c r="B10" s="96" t="s">
        <v>175</v>
      </c>
      <c r="C10" s="97" t="s">
        <v>176</v>
      </c>
      <c r="D10" s="97" t="s">
        <v>177</v>
      </c>
      <c r="E10" s="126"/>
      <c r="F10" s="127"/>
      <c r="G10" s="128" t="str">
        <f t="array" ref="G10">IFERROR(INDEX('Mr Sandeep Kumar'!G:G,MATCH($B10,'Mr Sandeep Kumar'!$B:$B,0)),IFERROR(INDEX('Mr Manu Vikraman'!G:G,MATCH($B10,'Mr Manu Vikraman'!$B:$B,0)),""))</f>
        <v/>
      </c>
      <c r="H10" s="128" t="str">
        <f t="array" ref="H10">IFERROR(INDEX('Mr Sandeep Kumar'!H:H,MATCH($B10,'Mr Sandeep Kumar'!$B:$B,0)),IFERROR(INDEX('Mr Manu Vikraman'!H:H,MATCH($B10,'Mr Manu Vikraman'!$B:$B,0)),""))</f>
        <v/>
      </c>
      <c r="I10" s="128" t="str">
        <f t="array" ref="I10">IFERROR(INDEX('Mr Sandeep Kumar'!I:I,MATCH($B10,'Mr Sandeep Kumar'!$B:$B,0)),IFERROR(INDEX('Mr Manu Vikraman'!I:I,MATCH($B10,'Mr Manu Vikraman'!$B:$B,0)),""))</f>
        <v/>
      </c>
      <c r="J10" s="128" t="str">
        <f t="array" ref="J10">IFERROR(INDEX('Mr Sandeep Kumar'!J:J,MATCH($B10,'Mr Sandeep Kumar'!$B:$B,0)),IFERROR(INDEX('Mr Manu Vikraman'!J:J,MATCH($B10,'Mr Manu Vikraman'!$B:$B,0)),""))</f>
        <v/>
      </c>
      <c r="K10" s="128" t="str">
        <f t="array" ref="K10">IFERROR(INDEX('Mr Sandeep Kumar'!K:K,MATCH($B10,'Mr Sandeep Kumar'!$B:$B,0)),IFERROR(INDEX('Mr Manu Vikraman'!K:K,MATCH($B10,'Mr Manu Vikraman'!$B:$B,0)),""))</f>
        <v/>
      </c>
      <c r="L10" s="128" t="str">
        <f t="array" ref="L10">IFERROR(INDEX('Mr Sandeep Kumar'!L:L,MATCH($B10,'Mr Sandeep Kumar'!$B:$B,0)),IFERROR(INDEX('Mr Manu Vikraman'!L:L,MATCH($B10,'Mr Manu Vikraman'!$B:$B,0)),""))</f>
        <v/>
      </c>
      <c r="M10" s="128" t="str">
        <f t="array" ref="M10">IFERROR(INDEX('Mr Sandeep Kumar'!M:M,MATCH($B10,'Mr Sandeep Kumar'!$B:$B,0)),IFERROR(INDEX('Mr Manu Vikraman'!M:M,MATCH($B10,'Mr Manu Vikraman'!$B:$B,0)),""))</f>
        <v/>
      </c>
      <c r="N10" s="128" t="str">
        <f t="array" ref="N10">IFERROR(INDEX('Mr Sandeep Kumar'!N:N,MATCH($B10,'Mr Sandeep Kumar'!$B:$B,0)),IFERROR(INDEX('Mr Manu Vikraman'!N:N,MATCH($B10,'Mr Manu Vikraman'!$B:$B,0)),""))</f>
        <v/>
      </c>
      <c r="O10" s="128" t="str">
        <f t="array" ref="O10">IFERROR(INDEX('Mr Sandeep Kumar'!O:O,MATCH($B10,'Mr Sandeep Kumar'!$B:$B,0)),IFERROR(INDEX('Mr Manu Vikraman'!O:O,MATCH($B10,'Mr Manu Vikraman'!$B:$B,0)),""))</f>
        <v/>
      </c>
      <c r="P10" s="128" t="str">
        <f t="array" ref="P10">IFERROR(INDEX('Mr Sandeep Kumar'!P:P,MATCH($B10,'Mr Sandeep Kumar'!$B:$B,0)),IFERROR(INDEX('Mr Manu Vikraman'!P:P,MATCH($B10,'Mr Manu Vikraman'!$B:$B,0)),""))</f>
        <v/>
      </c>
      <c r="Q10" s="129">
        <f t="shared" si="1"/>
        <v>0</v>
      </c>
      <c r="R10" s="130">
        <f t="shared" si="2"/>
        <v>0</v>
      </c>
      <c r="S10" s="131" t="str">
        <f t="shared" si="3"/>
        <v>D</v>
      </c>
      <c r="T10" s="131" t="str">
        <f t="shared" si="4"/>
        <v>Not Started</v>
      </c>
      <c r="U10" s="132"/>
    </row>
    <row r="11" ht="21.75" customHeight="1">
      <c r="A11" s="125">
        <v>5.0</v>
      </c>
      <c r="B11" s="96" t="s">
        <v>178</v>
      </c>
      <c r="C11" s="97" t="s">
        <v>179</v>
      </c>
      <c r="D11" s="97" t="s">
        <v>180</v>
      </c>
      <c r="E11" s="126"/>
      <c r="F11" s="127"/>
      <c r="G11" s="128" t="str">
        <f t="array" ref="G11">IFERROR(INDEX('Mr Sandeep Kumar'!G:G,MATCH($B11,'Mr Sandeep Kumar'!$B:$B,0)),IFERROR(INDEX('Mr Manu Vikraman'!G:G,MATCH($B11,'Mr Manu Vikraman'!$B:$B,0)),""))</f>
        <v/>
      </c>
      <c r="H11" s="128" t="str">
        <f t="array" ref="H11">IFERROR(INDEX('Mr Sandeep Kumar'!H:H,MATCH($B11,'Mr Sandeep Kumar'!$B:$B,0)),IFERROR(INDEX('Mr Manu Vikraman'!H:H,MATCH($B11,'Mr Manu Vikraman'!$B:$B,0)),""))</f>
        <v/>
      </c>
      <c r="I11" s="128" t="str">
        <f t="array" ref="I11">IFERROR(INDEX('Mr Sandeep Kumar'!I:I,MATCH($B11,'Mr Sandeep Kumar'!$B:$B,0)),IFERROR(INDEX('Mr Manu Vikraman'!I:I,MATCH($B11,'Mr Manu Vikraman'!$B:$B,0)),""))</f>
        <v/>
      </c>
      <c r="J11" s="128" t="str">
        <f t="array" ref="J11">IFERROR(INDEX('Mr Sandeep Kumar'!J:J,MATCH($B11,'Mr Sandeep Kumar'!$B:$B,0)),IFERROR(INDEX('Mr Manu Vikraman'!J:J,MATCH($B11,'Mr Manu Vikraman'!$B:$B,0)),""))</f>
        <v/>
      </c>
      <c r="K11" s="128" t="str">
        <f t="array" ref="K11">IFERROR(INDEX('Mr Sandeep Kumar'!K:K,MATCH($B11,'Mr Sandeep Kumar'!$B:$B,0)),IFERROR(INDEX('Mr Manu Vikraman'!K:K,MATCH($B11,'Mr Manu Vikraman'!$B:$B,0)),""))</f>
        <v/>
      </c>
      <c r="L11" s="128" t="str">
        <f t="array" ref="L11">IFERROR(INDEX('Mr Sandeep Kumar'!L:L,MATCH($B11,'Mr Sandeep Kumar'!$B:$B,0)),IFERROR(INDEX('Mr Manu Vikraman'!L:L,MATCH($B11,'Mr Manu Vikraman'!$B:$B,0)),""))</f>
        <v/>
      </c>
      <c r="M11" s="128" t="str">
        <f t="array" ref="M11">IFERROR(INDEX('Mr Sandeep Kumar'!M:M,MATCH($B11,'Mr Sandeep Kumar'!$B:$B,0)),IFERROR(INDEX('Mr Manu Vikraman'!M:M,MATCH($B11,'Mr Manu Vikraman'!$B:$B,0)),""))</f>
        <v/>
      </c>
      <c r="N11" s="128" t="str">
        <f t="array" ref="N11">IFERROR(INDEX('Mr Sandeep Kumar'!N:N,MATCH($B11,'Mr Sandeep Kumar'!$B:$B,0)),IFERROR(INDEX('Mr Manu Vikraman'!N:N,MATCH($B11,'Mr Manu Vikraman'!$B:$B,0)),""))</f>
        <v/>
      </c>
      <c r="O11" s="128" t="str">
        <f t="array" ref="O11">IFERROR(INDEX('Mr Sandeep Kumar'!O:O,MATCH($B11,'Mr Sandeep Kumar'!$B:$B,0)),IFERROR(INDEX('Mr Manu Vikraman'!O:O,MATCH($B11,'Mr Manu Vikraman'!$B:$B,0)),""))</f>
        <v/>
      </c>
      <c r="P11" s="128" t="str">
        <f t="array" ref="P11">IFERROR(INDEX('Mr Sandeep Kumar'!P:P,MATCH($B11,'Mr Sandeep Kumar'!$B:$B,0)),IFERROR(INDEX('Mr Manu Vikraman'!P:P,MATCH($B11,'Mr Manu Vikraman'!$B:$B,0)),""))</f>
        <v/>
      </c>
      <c r="Q11" s="129">
        <f t="shared" si="1"/>
        <v>0</v>
      </c>
      <c r="R11" s="130">
        <f t="shared" si="2"/>
        <v>0</v>
      </c>
      <c r="S11" s="131" t="str">
        <f t="shared" si="3"/>
        <v>D</v>
      </c>
      <c r="T11" s="131" t="str">
        <f t="shared" si="4"/>
        <v>Not Started</v>
      </c>
      <c r="U11" s="132"/>
    </row>
    <row r="12" ht="21.75" customHeight="1">
      <c r="A12" s="125">
        <v>6.0</v>
      </c>
      <c r="B12" s="96" t="s">
        <v>181</v>
      </c>
      <c r="C12" s="97" t="s">
        <v>182</v>
      </c>
      <c r="D12" s="97" t="s">
        <v>183</v>
      </c>
      <c r="E12" s="126"/>
      <c r="F12" s="127"/>
      <c r="G12" s="128" t="str">
        <f t="array" ref="G12">IFERROR(INDEX('Mr Sandeep Kumar'!G:G,MATCH($B12,'Mr Sandeep Kumar'!$B:$B,0)),IFERROR(INDEX('Mr Manu Vikraman'!G:G,MATCH($B12,'Mr Manu Vikraman'!$B:$B,0)),""))</f>
        <v/>
      </c>
      <c r="H12" s="128" t="str">
        <f t="array" ref="H12">IFERROR(INDEX('Mr Sandeep Kumar'!H:H,MATCH($B12,'Mr Sandeep Kumar'!$B:$B,0)),IFERROR(INDEX('Mr Manu Vikraman'!H:H,MATCH($B12,'Mr Manu Vikraman'!$B:$B,0)),""))</f>
        <v/>
      </c>
      <c r="I12" s="128" t="str">
        <f t="array" ref="I12">IFERROR(INDEX('Mr Sandeep Kumar'!I:I,MATCH($B12,'Mr Sandeep Kumar'!$B:$B,0)),IFERROR(INDEX('Mr Manu Vikraman'!I:I,MATCH($B12,'Mr Manu Vikraman'!$B:$B,0)),""))</f>
        <v/>
      </c>
      <c r="J12" s="128" t="str">
        <f t="array" ref="J12">IFERROR(INDEX('Mr Sandeep Kumar'!J:J,MATCH($B12,'Mr Sandeep Kumar'!$B:$B,0)),IFERROR(INDEX('Mr Manu Vikraman'!J:J,MATCH($B12,'Mr Manu Vikraman'!$B:$B,0)),""))</f>
        <v/>
      </c>
      <c r="K12" s="128" t="str">
        <f t="array" ref="K12">IFERROR(INDEX('Mr Sandeep Kumar'!K:K,MATCH($B12,'Mr Sandeep Kumar'!$B:$B,0)),IFERROR(INDEX('Mr Manu Vikraman'!K:K,MATCH($B12,'Mr Manu Vikraman'!$B:$B,0)),""))</f>
        <v/>
      </c>
      <c r="L12" s="128" t="str">
        <f t="array" ref="L12">IFERROR(INDEX('Mr Sandeep Kumar'!L:L,MATCH($B12,'Mr Sandeep Kumar'!$B:$B,0)),IFERROR(INDEX('Mr Manu Vikraman'!L:L,MATCH($B12,'Mr Manu Vikraman'!$B:$B,0)),""))</f>
        <v/>
      </c>
      <c r="M12" s="128" t="str">
        <f t="array" ref="M12">IFERROR(INDEX('Mr Sandeep Kumar'!M:M,MATCH($B12,'Mr Sandeep Kumar'!$B:$B,0)),IFERROR(INDEX('Mr Manu Vikraman'!M:M,MATCH($B12,'Mr Manu Vikraman'!$B:$B,0)),""))</f>
        <v/>
      </c>
      <c r="N12" s="128" t="str">
        <f t="array" ref="N12">IFERROR(INDEX('Mr Sandeep Kumar'!N:N,MATCH($B12,'Mr Sandeep Kumar'!$B:$B,0)),IFERROR(INDEX('Mr Manu Vikraman'!N:N,MATCH($B12,'Mr Manu Vikraman'!$B:$B,0)),""))</f>
        <v/>
      </c>
      <c r="O12" s="128" t="str">
        <f t="array" ref="O12">IFERROR(INDEX('Mr Sandeep Kumar'!O:O,MATCH($B12,'Mr Sandeep Kumar'!$B:$B,0)),IFERROR(INDEX('Mr Manu Vikraman'!O:O,MATCH($B12,'Mr Manu Vikraman'!$B:$B,0)),""))</f>
        <v/>
      </c>
      <c r="P12" s="128" t="str">
        <f t="array" ref="P12">IFERROR(INDEX('Mr Sandeep Kumar'!P:P,MATCH($B12,'Mr Sandeep Kumar'!$B:$B,0)),IFERROR(INDEX('Mr Manu Vikraman'!P:P,MATCH($B12,'Mr Manu Vikraman'!$B:$B,0)),""))</f>
        <v/>
      </c>
      <c r="Q12" s="129">
        <f t="shared" si="1"/>
        <v>0</v>
      </c>
      <c r="R12" s="130">
        <f t="shared" si="2"/>
        <v>0</v>
      </c>
      <c r="S12" s="131" t="str">
        <f t="shared" si="3"/>
        <v>D</v>
      </c>
      <c r="T12" s="131" t="str">
        <f t="shared" si="4"/>
        <v>Not Started</v>
      </c>
      <c r="U12" s="132"/>
    </row>
    <row r="13" ht="21.75" customHeight="1">
      <c r="A13" s="125">
        <v>7.0</v>
      </c>
      <c r="B13" s="96" t="s">
        <v>184</v>
      </c>
      <c r="C13" s="97" t="s">
        <v>185</v>
      </c>
      <c r="D13" s="97" t="s">
        <v>186</v>
      </c>
      <c r="E13" s="126"/>
      <c r="F13" s="127"/>
      <c r="G13" s="128" t="str">
        <f t="array" ref="G13">IFERROR(INDEX('Mr Sandeep Kumar'!G:G,MATCH($B13,'Mr Sandeep Kumar'!$B:$B,0)),IFERROR(INDEX('Mr Manu Vikraman'!G:G,MATCH($B13,'Mr Manu Vikraman'!$B:$B,0)),""))</f>
        <v/>
      </c>
      <c r="H13" s="128" t="str">
        <f t="array" ref="H13">IFERROR(INDEX('Mr Sandeep Kumar'!H:H,MATCH($B13,'Mr Sandeep Kumar'!$B:$B,0)),IFERROR(INDEX('Mr Manu Vikraman'!H:H,MATCH($B13,'Mr Manu Vikraman'!$B:$B,0)),""))</f>
        <v/>
      </c>
      <c r="I13" s="128" t="str">
        <f t="array" ref="I13">IFERROR(INDEX('Mr Sandeep Kumar'!I:I,MATCH($B13,'Mr Sandeep Kumar'!$B:$B,0)),IFERROR(INDEX('Mr Manu Vikraman'!I:I,MATCH($B13,'Mr Manu Vikraman'!$B:$B,0)),""))</f>
        <v/>
      </c>
      <c r="J13" s="128" t="str">
        <f t="array" ref="J13">IFERROR(INDEX('Mr Sandeep Kumar'!J:J,MATCH($B13,'Mr Sandeep Kumar'!$B:$B,0)),IFERROR(INDEX('Mr Manu Vikraman'!J:J,MATCH($B13,'Mr Manu Vikraman'!$B:$B,0)),""))</f>
        <v/>
      </c>
      <c r="K13" s="128" t="str">
        <f t="array" ref="K13">IFERROR(INDEX('Mr Sandeep Kumar'!K:K,MATCH($B13,'Mr Sandeep Kumar'!$B:$B,0)),IFERROR(INDEX('Mr Manu Vikraman'!K:K,MATCH($B13,'Mr Manu Vikraman'!$B:$B,0)),""))</f>
        <v/>
      </c>
      <c r="L13" s="128" t="str">
        <f t="array" ref="L13">IFERROR(INDEX('Mr Sandeep Kumar'!L:L,MATCH($B13,'Mr Sandeep Kumar'!$B:$B,0)),IFERROR(INDEX('Mr Manu Vikraman'!L:L,MATCH($B13,'Mr Manu Vikraman'!$B:$B,0)),""))</f>
        <v/>
      </c>
      <c r="M13" s="128" t="str">
        <f t="array" ref="M13">IFERROR(INDEX('Mr Sandeep Kumar'!M:M,MATCH($B13,'Mr Sandeep Kumar'!$B:$B,0)),IFERROR(INDEX('Mr Manu Vikraman'!M:M,MATCH($B13,'Mr Manu Vikraman'!$B:$B,0)),""))</f>
        <v/>
      </c>
      <c r="N13" s="128" t="str">
        <f t="array" ref="N13">IFERROR(INDEX('Mr Sandeep Kumar'!N:N,MATCH($B13,'Mr Sandeep Kumar'!$B:$B,0)),IFERROR(INDEX('Mr Manu Vikraman'!N:N,MATCH($B13,'Mr Manu Vikraman'!$B:$B,0)),""))</f>
        <v/>
      </c>
      <c r="O13" s="128" t="str">
        <f t="array" ref="O13">IFERROR(INDEX('Mr Sandeep Kumar'!O:O,MATCH($B13,'Mr Sandeep Kumar'!$B:$B,0)),IFERROR(INDEX('Mr Manu Vikraman'!O:O,MATCH($B13,'Mr Manu Vikraman'!$B:$B,0)),""))</f>
        <v/>
      </c>
      <c r="P13" s="128" t="str">
        <f t="array" ref="P13">IFERROR(INDEX('Mr Sandeep Kumar'!P:P,MATCH($B13,'Mr Sandeep Kumar'!$B:$B,0)),IFERROR(INDEX('Mr Manu Vikraman'!P:P,MATCH($B13,'Mr Manu Vikraman'!$B:$B,0)),""))</f>
        <v/>
      </c>
      <c r="Q13" s="129">
        <f t="shared" si="1"/>
        <v>0</v>
      </c>
      <c r="R13" s="130">
        <f t="shared" si="2"/>
        <v>0</v>
      </c>
      <c r="S13" s="131" t="str">
        <f t="shared" si="3"/>
        <v>D</v>
      </c>
      <c r="T13" s="131" t="str">
        <f t="shared" si="4"/>
        <v>Not Started</v>
      </c>
      <c r="U13" s="132"/>
    </row>
    <row r="14" ht="21.75" customHeight="1">
      <c r="A14" s="125">
        <v>8.0</v>
      </c>
      <c r="B14" s="96" t="s">
        <v>187</v>
      </c>
      <c r="C14" s="97" t="s">
        <v>188</v>
      </c>
      <c r="D14" s="97" t="s">
        <v>189</v>
      </c>
      <c r="E14" s="126"/>
      <c r="F14" s="127"/>
      <c r="G14" s="128" t="str">
        <f t="array" ref="G14">IFERROR(INDEX('Mr Sandeep Kumar'!G:G,MATCH($B14,'Mr Sandeep Kumar'!$B:$B,0)),IFERROR(INDEX('Mr Manu Vikraman'!G:G,MATCH($B14,'Mr Manu Vikraman'!$B:$B,0)),""))</f>
        <v/>
      </c>
      <c r="H14" s="128" t="str">
        <f t="array" ref="H14">IFERROR(INDEX('Mr Sandeep Kumar'!H:H,MATCH($B14,'Mr Sandeep Kumar'!$B:$B,0)),IFERROR(INDEX('Mr Manu Vikraman'!H:H,MATCH($B14,'Mr Manu Vikraman'!$B:$B,0)),""))</f>
        <v/>
      </c>
      <c r="I14" s="128" t="str">
        <f t="array" ref="I14">IFERROR(INDEX('Mr Sandeep Kumar'!I:I,MATCH($B14,'Mr Sandeep Kumar'!$B:$B,0)),IFERROR(INDEX('Mr Manu Vikraman'!I:I,MATCH($B14,'Mr Manu Vikraman'!$B:$B,0)),""))</f>
        <v/>
      </c>
      <c r="J14" s="128" t="str">
        <f t="array" ref="J14">IFERROR(INDEX('Mr Sandeep Kumar'!J:J,MATCH($B14,'Mr Sandeep Kumar'!$B:$B,0)),IFERROR(INDEX('Mr Manu Vikraman'!J:J,MATCH($B14,'Mr Manu Vikraman'!$B:$B,0)),""))</f>
        <v/>
      </c>
      <c r="K14" s="128" t="str">
        <f t="array" ref="K14">IFERROR(INDEX('Mr Sandeep Kumar'!K:K,MATCH($B14,'Mr Sandeep Kumar'!$B:$B,0)),IFERROR(INDEX('Mr Manu Vikraman'!K:K,MATCH($B14,'Mr Manu Vikraman'!$B:$B,0)),""))</f>
        <v/>
      </c>
      <c r="L14" s="128" t="str">
        <f t="array" ref="L14">IFERROR(INDEX('Mr Sandeep Kumar'!L:L,MATCH($B14,'Mr Sandeep Kumar'!$B:$B,0)),IFERROR(INDEX('Mr Manu Vikraman'!L:L,MATCH($B14,'Mr Manu Vikraman'!$B:$B,0)),""))</f>
        <v/>
      </c>
      <c r="M14" s="128" t="str">
        <f t="array" ref="M14">IFERROR(INDEX('Mr Sandeep Kumar'!M:M,MATCH($B14,'Mr Sandeep Kumar'!$B:$B,0)),IFERROR(INDEX('Mr Manu Vikraman'!M:M,MATCH($B14,'Mr Manu Vikraman'!$B:$B,0)),""))</f>
        <v/>
      </c>
      <c r="N14" s="128" t="str">
        <f t="array" ref="N14">IFERROR(INDEX('Mr Sandeep Kumar'!N:N,MATCH($B14,'Mr Sandeep Kumar'!$B:$B,0)),IFERROR(INDEX('Mr Manu Vikraman'!N:N,MATCH($B14,'Mr Manu Vikraman'!$B:$B,0)),""))</f>
        <v/>
      </c>
      <c r="O14" s="128" t="str">
        <f t="array" ref="O14">IFERROR(INDEX('Mr Sandeep Kumar'!O:O,MATCH($B14,'Mr Sandeep Kumar'!$B:$B,0)),IFERROR(INDEX('Mr Manu Vikraman'!O:O,MATCH($B14,'Mr Manu Vikraman'!$B:$B,0)),""))</f>
        <v/>
      </c>
      <c r="P14" s="128" t="str">
        <f t="array" ref="P14">IFERROR(INDEX('Mr Sandeep Kumar'!P:P,MATCH($B14,'Mr Sandeep Kumar'!$B:$B,0)),IFERROR(INDEX('Mr Manu Vikraman'!P:P,MATCH($B14,'Mr Manu Vikraman'!$B:$B,0)),""))</f>
        <v/>
      </c>
      <c r="Q14" s="129">
        <f t="shared" si="1"/>
        <v>0</v>
      </c>
      <c r="R14" s="130">
        <f t="shared" si="2"/>
        <v>0</v>
      </c>
      <c r="S14" s="131" t="str">
        <f t="shared" si="3"/>
        <v>D</v>
      </c>
      <c r="T14" s="131" t="str">
        <f t="shared" si="4"/>
        <v>Not Started</v>
      </c>
      <c r="U14" s="132"/>
    </row>
    <row r="15" ht="21.75" customHeight="1">
      <c r="A15" s="125">
        <v>9.0</v>
      </c>
      <c r="B15" s="96" t="s">
        <v>190</v>
      </c>
      <c r="C15" s="97" t="s">
        <v>191</v>
      </c>
      <c r="D15" s="97" t="s">
        <v>192</v>
      </c>
      <c r="E15" s="126"/>
      <c r="F15" s="127"/>
      <c r="G15" s="128" t="str">
        <f t="array" ref="G15">IFERROR(INDEX('Mr Sandeep Kumar'!G:G,MATCH($B15,'Mr Sandeep Kumar'!$B:$B,0)),IFERROR(INDEX('Mr Manu Vikraman'!G:G,MATCH($B15,'Mr Manu Vikraman'!$B:$B,0)),""))</f>
        <v/>
      </c>
      <c r="H15" s="128" t="str">
        <f t="array" ref="H15">IFERROR(INDEX('Mr Sandeep Kumar'!H:H,MATCH($B15,'Mr Sandeep Kumar'!$B:$B,0)),IFERROR(INDEX('Mr Manu Vikraman'!H:H,MATCH($B15,'Mr Manu Vikraman'!$B:$B,0)),""))</f>
        <v/>
      </c>
      <c r="I15" s="128" t="str">
        <f t="array" ref="I15">IFERROR(INDEX('Mr Sandeep Kumar'!I:I,MATCH($B15,'Mr Sandeep Kumar'!$B:$B,0)),IFERROR(INDEX('Mr Manu Vikraman'!I:I,MATCH($B15,'Mr Manu Vikraman'!$B:$B,0)),""))</f>
        <v/>
      </c>
      <c r="J15" s="128" t="str">
        <f t="array" ref="J15">IFERROR(INDEX('Mr Sandeep Kumar'!J:J,MATCH($B15,'Mr Sandeep Kumar'!$B:$B,0)),IFERROR(INDEX('Mr Manu Vikraman'!J:J,MATCH($B15,'Mr Manu Vikraman'!$B:$B,0)),""))</f>
        <v/>
      </c>
      <c r="K15" s="128" t="str">
        <f t="array" ref="K15">IFERROR(INDEX('Mr Sandeep Kumar'!K:K,MATCH($B15,'Mr Sandeep Kumar'!$B:$B,0)),IFERROR(INDEX('Mr Manu Vikraman'!K:K,MATCH($B15,'Mr Manu Vikraman'!$B:$B,0)),""))</f>
        <v/>
      </c>
      <c r="L15" s="128" t="str">
        <f t="array" ref="L15">IFERROR(INDEX('Mr Sandeep Kumar'!L:L,MATCH($B15,'Mr Sandeep Kumar'!$B:$B,0)),IFERROR(INDEX('Mr Manu Vikraman'!L:L,MATCH($B15,'Mr Manu Vikraman'!$B:$B,0)),""))</f>
        <v/>
      </c>
      <c r="M15" s="128" t="str">
        <f t="array" ref="M15">IFERROR(INDEX('Mr Sandeep Kumar'!M:M,MATCH($B15,'Mr Sandeep Kumar'!$B:$B,0)),IFERROR(INDEX('Mr Manu Vikraman'!M:M,MATCH($B15,'Mr Manu Vikraman'!$B:$B,0)),""))</f>
        <v/>
      </c>
      <c r="N15" s="128" t="str">
        <f t="array" ref="N15">IFERROR(INDEX('Mr Sandeep Kumar'!N:N,MATCH($B15,'Mr Sandeep Kumar'!$B:$B,0)),IFERROR(INDEX('Mr Manu Vikraman'!N:N,MATCH($B15,'Mr Manu Vikraman'!$B:$B,0)),""))</f>
        <v/>
      </c>
      <c r="O15" s="128" t="str">
        <f t="array" ref="O15">IFERROR(INDEX('Mr Sandeep Kumar'!O:O,MATCH($B15,'Mr Sandeep Kumar'!$B:$B,0)),IFERROR(INDEX('Mr Manu Vikraman'!O:O,MATCH($B15,'Mr Manu Vikraman'!$B:$B,0)),""))</f>
        <v/>
      </c>
      <c r="P15" s="128" t="str">
        <f t="array" ref="P15">IFERROR(INDEX('Mr Sandeep Kumar'!P:P,MATCH($B15,'Mr Sandeep Kumar'!$B:$B,0)),IFERROR(INDEX('Mr Manu Vikraman'!P:P,MATCH($B15,'Mr Manu Vikraman'!$B:$B,0)),""))</f>
        <v/>
      </c>
      <c r="Q15" s="129">
        <f t="shared" si="1"/>
        <v>0</v>
      </c>
      <c r="R15" s="130">
        <f t="shared" si="2"/>
        <v>0</v>
      </c>
      <c r="S15" s="131" t="str">
        <f t="shared" si="3"/>
        <v>D</v>
      </c>
      <c r="T15" s="131" t="str">
        <f t="shared" si="4"/>
        <v>Not Started</v>
      </c>
      <c r="U15" s="132"/>
    </row>
    <row r="16" ht="21.75" customHeight="1">
      <c r="A16" s="125">
        <v>10.0</v>
      </c>
      <c r="B16" s="96" t="s">
        <v>193</v>
      </c>
      <c r="C16" s="97" t="s">
        <v>194</v>
      </c>
      <c r="D16" s="97" t="s">
        <v>195</v>
      </c>
      <c r="E16" s="126"/>
      <c r="F16" s="127"/>
      <c r="G16" s="128" t="str">
        <f t="array" ref="G16">IFERROR(INDEX('Mr Sandeep Kumar'!G:G,MATCH($B16,'Mr Sandeep Kumar'!$B:$B,0)),IFERROR(INDEX('Mr Manu Vikraman'!G:G,MATCH($B16,'Mr Manu Vikraman'!$B:$B,0)),""))</f>
        <v/>
      </c>
      <c r="H16" s="128" t="str">
        <f t="array" ref="H16">IFERROR(INDEX('Mr Sandeep Kumar'!H:H,MATCH($B16,'Mr Sandeep Kumar'!$B:$B,0)),IFERROR(INDEX('Mr Manu Vikraman'!H:H,MATCH($B16,'Mr Manu Vikraman'!$B:$B,0)),""))</f>
        <v/>
      </c>
      <c r="I16" s="128" t="str">
        <f t="array" ref="I16">IFERROR(INDEX('Mr Sandeep Kumar'!I:I,MATCH($B16,'Mr Sandeep Kumar'!$B:$B,0)),IFERROR(INDEX('Mr Manu Vikraman'!I:I,MATCH($B16,'Mr Manu Vikraman'!$B:$B,0)),""))</f>
        <v/>
      </c>
      <c r="J16" s="128" t="str">
        <f t="array" ref="J16">IFERROR(INDEX('Mr Sandeep Kumar'!J:J,MATCH($B16,'Mr Sandeep Kumar'!$B:$B,0)),IFERROR(INDEX('Mr Manu Vikraman'!J:J,MATCH($B16,'Mr Manu Vikraman'!$B:$B,0)),""))</f>
        <v/>
      </c>
      <c r="K16" s="128" t="str">
        <f t="array" ref="K16">IFERROR(INDEX('Mr Sandeep Kumar'!K:K,MATCH($B16,'Mr Sandeep Kumar'!$B:$B,0)),IFERROR(INDEX('Mr Manu Vikraman'!K:K,MATCH($B16,'Mr Manu Vikraman'!$B:$B,0)),""))</f>
        <v/>
      </c>
      <c r="L16" s="128" t="str">
        <f t="array" ref="L16">IFERROR(INDEX('Mr Sandeep Kumar'!L:L,MATCH($B16,'Mr Sandeep Kumar'!$B:$B,0)),IFERROR(INDEX('Mr Manu Vikraman'!L:L,MATCH($B16,'Mr Manu Vikraman'!$B:$B,0)),""))</f>
        <v/>
      </c>
      <c r="M16" s="128" t="str">
        <f t="array" ref="M16">IFERROR(INDEX('Mr Sandeep Kumar'!M:M,MATCH($B16,'Mr Sandeep Kumar'!$B:$B,0)),IFERROR(INDEX('Mr Manu Vikraman'!M:M,MATCH($B16,'Mr Manu Vikraman'!$B:$B,0)),""))</f>
        <v/>
      </c>
      <c r="N16" s="128" t="str">
        <f t="array" ref="N16">IFERROR(INDEX('Mr Sandeep Kumar'!N:N,MATCH($B16,'Mr Sandeep Kumar'!$B:$B,0)),IFERROR(INDEX('Mr Manu Vikraman'!N:N,MATCH($B16,'Mr Manu Vikraman'!$B:$B,0)),""))</f>
        <v/>
      </c>
      <c r="O16" s="128" t="str">
        <f t="array" ref="O16">IFERROR(INDEX('Mr Sandeep Kumar'!O:O,MATCH($B16,'Mr Sandeep Kumar'!$B:$B,0)),IFERROR(INDEX('Mr Manu Vikraman'!O:O,MATCH($B16,'Mr Manu Vikraman'!$B:$B,0)),""))</f>
        <v/>
      </c>
      <c r="P16" s="128" t="str">
        <f t="array" ref="P16">IFERROR(INDEX('Mr Sandeep Kumar'!P:P,MATCH($B16,'Mr Sandeep Kumar'!$B:$B,0)),IFERROR(INDEX('Mr Manu Vikraman'!P:P,MATCH($B16,'Mr Manu Vikraman'!$B:$B,0)),""))</f>
        <v/>
      </c>
      <c r="Q16" s="129">
        <f t="shared" si="1"/>
        <v>0</v>
      </c>
      <c r="R16" s="130">
        <f t="shared" si="2"/>
        <v>0</v>
      </c>
      <c r="S16" s="131" t="str">
        <f t="shared" si="3"/>
        <v>D</v>
      </c>
      <c r="T16" s="131" t="str">
        <f t="shared" si="4"/>
        <v>Not Started</v>
      </c>
      <c r="U16" s="132"/>
    </row>
    <row r="17" ht="21.75" customHeight="1">
      <c r="A17" s="125">
        <v>11.0</v>
      </c>
      <c r="B17" s="96" t="s">
        <v>196</v>
      </c>
      <c r="C17" s="97" t="s">
        <v>197</v>
      </c>
      <c r="D17" s="97" t="s">
        <v>198</v>
      </c>
      <c r="E17" s="126"/>
      <c r="F17" s="127"/>
      <c r="G17" s="128" t="str">
        <f t="array" ref="G17">IFERROR(INDEX('Mr Sandeep Kumar'!G:G,MATCH($B17,'Mr Sandeep Kumar'!$B:$B,0)),IFERROR(INDEX('Mr Manu Vikraman'!G:G,MATCH($B17,'Mr Manu Vikraman'!$B:$B,0)),""))</f>
        <v/>
      </c>
      <c r="H17" s="128" t="str">
        <f t="array" ref="H17">IFERROR(INDEX('Mr Sandeep Kumar'!H:H,MATCH($B17,'Mr Sandeep Kumar'!$B:$B,0)),IFERROR(INDEX('Mr Manu Vikraman'!H:H,MATCH($B17,'Mr Manu Vikraman'!$B:$B,0)),""))</f>
        <v/>
      </c>
      <c r="I17" s="128" t="str">
        <f t="array" ref="I17">IFERROR(INDEX('Mr Sandeep Kumar'!I:I,MATCH($B17,'Mr Sandeep Kumar'!$B:$B,0)),IFERROR(INDEX('Mr Manu Vikraman'!I:I,MATCH($B17,'Mr Manu Vikraman'!$B:$B,0)),""))</f>
        <v/>
      </c>
      <c r="J17" s="128" t="str">
        <f t="array" ref="J17">IFERROR(INDEX('Mr Sandeep Kumar'!J:J,MATCH($B17,'Mr Sandeep Kumar'!$B:$B,0)),IFERROR(INDEX('Mr Manu Vikraman'!J:J,MATCH($B17,'Mr Manu Vikraman'!$B:$B,0)),""))</f>
        <v/>
      </c>
      <c r="K17" s="128" t="str">
        <f t="array" ref="K17">IFERROR(INDEX('Mr Sandeep Kumar'!K:K,MATCH($B17,'Mr Sandeep Kumar'!$B:$B,0)),IFERROR(INDEX('Mr Manu Vikraman'!K:K,MATCH($B17,'Mr Manu Vikraman'!$B:$B,0)),""))</f>
        <v/>
      </c>
      <c r="L17" s="128" t="str">
        <f t="array" ref="L17">IFERROR(INDEX('Mr Sandeep Kumar'!L:L,MATCH($B17,'Mr Sandeep Kumar'!$B:$B,0)),IFERROR(INDEX('Mr Manu Vikraman'!L:L,MATCH($B17,'Mr Manu Vikraman'!$B:$B,0)),""))</f>
        <v/>
      </c>
      <c r="M17" s="128" t="str">
        <f t="array" ref="M17">IFERROR(INDEX('Mr Sandeep Kumar'!M:M,MATCH($B17,'Mr Sandeep Kumar'!$B:$B,0)),IFERROR(INDEX('Mr Manu Vikraman'!M:M,MATCH($B17,'Mr Manu Vikraman'!$B:$B,0)),""))</f>
        <v/>
      </c>
      <c r="N17" s="128" t="str">
        <f t="array" ref="N17">IFERROR(INDEX('Mr Sandeep Kumar'!N:N,MATCH($B17,'Mr Sandeep Kumar'!$B:$B,0)),IFERROR(INDEX('Mr Manu Vikraman'!N:N,MATCH($B17,'Mr Manu Vikraman'!$B:$B,0)),""))</f>
        <v/>
      </c>
      <c r="O17" s="128" t="str">
        <f t="array" ref="O17">IFERROR(INDEX('Mr Sandeep Kumar'!O:O,MATCH($B17,'Mr Sandeep Kumar'!$B:$B,0)),IFERROR(INDEX('Mr Manu Vikraman'!O:O,MATCH($B17,'Mr Manu Vikraman'!$B:$B,0)),""))</f>
        <v/>
      </c>
      <c r="P17" s="128" t="str">
        <f t="array" ref="P17">IFERROR(INDEX('Mr Sandeep Kumar'!P:P,MATCH($B17,'Mr Sandeep Kumar'!$B:$B,0)),IFERROR(INDEX('Mr Manu Vikraman'!P:P,MATCH($B17,'Mr Manu Vikraman'!$B:$B,0)),""))</f>
        <v/>
      </c>
      <c r="Q17" s="129">
        <f t="shared" si="1"/>
        <v>0</v>
      </c>
      <c r="R17" s="130">
        <f t="shared" si="2"/>
        <v>0</v>
      </c>
      <c r="S17" s="131" t="str">
        <f t="shared" si="3"/>
        <v>D</v>
      </c>
      <c r="T17" s="131" t="str">
        <f t="shared" si="4"/>
        <v>Not Started</v>
      </c>
      <c r="U17" s="132"/>
    </row>
    <row r="18" ht="21.75" customHeight="1">
      <c r="A18" s="125">
        <v>12.0</v>
      </c>
      <c r="B18" s="96" t="s">
        <v>200</v>
      </c>
      <c r="C18" s="97" t="s">
        <v>201</v>
      </c>
      <c r="D18" s="97" t="s">
        <v>202</v>
      </c>
      <c r="E18" s="126"/>
      <c r="F18" s="127"/>
      <c r="G18" s="128" t="str">
        <f t="array" ref="G18">IFERROR(INDEX('Mr Sandeep Kumar'!G:G,MATCH($B18,'Mr Sandeep Kumar'!$B:$B,0)),IFERROR(INDEX('Mr Manu Vikraman'!G:G,MATCH($B18,'Mr Manu Vikraman'!$B:$B,0)),""))</f>
        <v/>
      </c>
      <c r="H18" s="128" t="str">
        <f t="array" ref="H18">IFERROR(INDEX('Mr Sandeep Kumar'!H:H,MATCH($B18,'Mr Sandeep Kumar'!$B:$B,0)),IFERROR(INDEX('Mr Manu Vikraman'!H:H,MATCH($B18,'Mr Manu Vikraman'!$B:$B,0)),""))</f>
        <v/>
      </c>
      <c r="I18" s="128" t="str">
        <f t="array" ref="I18">IFERROR(INDEX('Mr Sandeep Kumar'!I:I,MATCH($B18,'Mr Sandeep Kumar'!$B:$B,0)),IFERROR(INDEX('Mr Manu Vikraman'!I:I,MATCH($B18,'Mr Manu Vikraman'!$B:$B,0)),""))</f>
        <v/>
      </c>
      <c r="J18" s="128" t="str">
        <f t="array" ref="J18">IFERROR(INDEX('Mr Sandeep Kumar'!J:J,MATCH($B18,'Mr Sandeep Kumar'!$B:$B,0)),IFERROR(INDEX('Mr Manu Vikraman'!J:J,MATCH($B18,'Mr Manu Vikraman'!$B:$B,0)),""))</f>
        <v/>
      </c>
      <c r="K18" s="128" t="str">
        <f t="array" ref="K18">IFERROR(INDEX('Mr Sandeep Kumar'!K:K,MATCH($B18,'Mr Sandeep Kumar'!$B:$B,0)),IFERROR(INDEX('Mr Manu Vikraman'!K:K,MATCH($B18,'Mr Manu Vikraman'!$B:$B,0)),""))</f>
        <v/>
      </c>
      <c r="L18" s="128" t="str">
        <f t="array" ref="L18">IFERROR(INDEX('Mr Sandeep Kumar'!L:L,MATCH($B18,'Mr Sandeep Kumar'!$B:$B,0)),IFERROR(INDEX('Mr Manu Vikraman'!L:L,MATCH($B18,'Mr Manu Vikraman'!$B:$B,0)),""))</f>
        <v/>
      </c>
      <c r="M18" s="128" t="str">
        <f t="array" ref="M18">IFERROR(INDEX('Mr Sandeep Kumar'!M:M,MATCH($B18,'Mr Sandeep Kumar'!$B:$B,0)),IFERROR(INDEX('Mr Manu Vikraman'!M:M,MATCH($B18,'Mr Manu Vikraman'!$B:$B,0)),""))</f>
        <v/>
      </c>
      <c r="N18" s="128" t="str">
        <f t="array" ref="N18">IFERROR(INDEX('Mr Sandeep Kumar'!N:N,MATCH($B18,'Mr Sandeep Kumar'!$B:$B,0)),IFERROR(INDEX('Mr Manu Vikraman'!N:N,MATCH($B18,'Mr Manu Vikraman'!$B:$B,0)),""))</f>
        <v/>
      </c>
      <c r="O18" s="128" t="str">
        <f t="array" ref="O18">IFERROR(INDEX('Mr Sandeep Kumar'!O:O,MATCH($B18,'Mr Sandeep Kumar'!$B:$B,0)),IFERROR(INDEX('Mr Manu Vikraman'!O:O,MATCH($B18,'Mr Manu Vikraman'!$B:$B,0)),""))</f>
        <v/>
      </c>
      <c r="P18" s="128" t="str">
        <f t="array" ref="P18">IFERROR(INDEX('Mr Sandeep Kumar'!P:P,MATCH($B18,'Mr Sandeep Kumar'!$B:$B,0)),IFERROR(INDEX('Mr Manu Vikraman'!P:P,MATCH($B18,'Mr Manu Vikraman'!$B:$B,0)),""))</f>
        <v/>
      </c>
      <c r="Q18" s="129">
        <f t="shared" si="1"/>
        <v>0</v>
      </c>
      <c r="R18" s="130">
        <f t="shared" si="2"/>
        <v>0</v>
      </c>
      <c r="S18" s="131" t="str">
        <f t="shared" si="3"/>
        <v>D</v>
      </c>
      <c r="T18" s="131" t="str">
        <f t="shared" si="4"/>
        <v>Not Started</v>
      </c>
      <c r="U18" s="132"/>
    </row>
    <row r="19" ht="21.75" customHeight="1">
      <c r="A19" s="125">
        <v>13.0</v>
      </c>
      <c r="B19" s="96" t="s">
        <v>203</v>
      </c>
      <c r="C19" s="97" t="s">
        <v>204</v>
      </c>
      <c r="D19" s="97" t="s">
        <v>205</v>
      </c>
      <c r="E19" s="126"/>
      <c r="F19" s="127"/>
      <c r="G19" s="128" t="str">
        <f t="array" ref="G19">IFERROR(INDEX('Mr Sandeep Kumar'!G:G,MATCH($B19,'Mr Sandeep Kumar'!$B:$B,0)),IFERROR(INDEX('Mr Manu Vikraman'!G:G,MATCH($B19,'Mr Manu Vikraman'!$B:$B,0)),""))</f>
        <v/>
      </c>
      <c r="H19" s="128" t="str">
        <f t="array" ref="H19">IFERROR(INDEX('Mr Sandeep Kumar'!H:H,MATCH($B19,'Mr Sandeep Kumar'!$B:$B,0)),IFERROR(INDEX('Mr Manu Vikraman'!H:H,MATCH($B19,'Mr Manu Vikraman'!$B:$B,0)),""))</f>
        <v/>
      </c>
      <c r="I19" s="128" t="str">
        <f t="array" ref="I19">IFERROR(INDEX('Mr Sandeep Kumar'!I:I,MATCH($B19,'Mr Sandeep Kumar'!$B:$B,0)),IFERROR(INDEX('Mr Manu Vikraman'!I:I,MATCH($B19,'Mr Manu Vikraman'!$B:$B,0)),""))</f>
        <v/>
      </c>
      <c r="J19" s="128" t="str">
        <f t="array" ref="J19">IFERROR(INDEX('Mr Sandeep Kumar'!J:J,MATCH($B19,'Mr Sandeep Kumar'!$B:$B,0)),IFERROR(INDEX('Mr Manu Vikraman'!J:J,MATCH($B19,'Mr Manu Vikraman'!$B:$B,0)),""))</f>
        <v/>
      </c>
      <c r="K19" s="128" t="str">
        <f t="array" ref="K19">IFERROR(INDEX('Mr Sandeep Kumar'!K:K,MATCH($B19,'Mr Sandeep Kumar'!$B:$B,0)),IFERROR(INDEX('Mr Manu Vikraman'!K:K,MATCH($B19,'Mr Manu Vikraman'!$B:$B,0)),""))</f>
        <v/>
      </c>
      <c r="L19" s="128" t="str">
        <f t="array" ref="L19">IFERROR(INDEX('Mr Sandeep Kumar'!L:L,MATCH($B19,'Mr Sandeep Kumar'!$B:$B,0)),IFERROR(INDEX('Mr Manu Vikraman'!L:L,MATCH($B19,'Mr Manu Vikraman'!$B:$B,0)),""))</f>
        <v/>
      </c>
      <c r="M19" s="128" t="str">
        <f t="array" ref="M19">IFERROR(INDEX('Mr Sandeep Kumar'!M:M,MATCH($B19,'Mr Sandeep Kumar'!$B:$B,0)),IFERROR(INDEX('Mr Manu Vikraman'!M:M,MATCH($B19,'Mr Manu Vikraman'!$B:$B,0)),""))</f>
        <v/>
      </c>
      <c r="N19" s="128" t="str">
        <f t="array" ref="N19">IFERROR(INDEX('Mr Sandeep Kumar'!N:N,MATCH($B19,'Mr Sandeep Kumar'!$B:$B,0)),IFERROR(INDEX('Mr Manu Vikraman'!N:N,MATCH($B19,'Mr Manu Vikraman'!$B:$B,0)),""))</f>
        <v/>
      </c>
      <c r="O19" s="128" t="str">
        <f t="array" ref="O19">IFERROR(INDEX('Mr Sandeep Kumar'!O:O,MATCH($B19,'Mr Sandeep Kumar'!$B:$B,0)),IFERROR(INDEX('Mr Manu Vikraman'!O:O,MATCH($B19,'Mr Manu Vikraman'!$B:$B,0)),""))</f>
        <v/>
      </c>
      <c r="P19" s="128" t="str">
        <f t="array" ref="P19">IFERROR(INDEX('Mr Sandeep Kumar'!P:P,MATCH($B19,'Mr Sandeep Kumar'!$B:$B,0)),IFERROR(INDEX('Mr Manu Vikraman'!P:P,MATCH($B19,'Mr Manu Vikraman'!$B:$B,0)),""))</f>
        <v/>
      </c>
      <c r="Q19" s="129">
        <f t="shared" si="1"/>
        <v>0</v>
      </c>
      <c r="R19" s="130">
        <f t="shared" si="2"/>
        <v>0</v>
      </c>
      <c r="S19" s="131" t="str">
        <f t="shared" si="3"/>
        <v>D</v>
      </c>
      <c r="T19" s="131" t="str">
        <f t="shared" si="4"/>
        <v>Not Started</v>
      </c>
      <c r="U19" s="132"/>
    </row>
    <row r="20" ht="21.75" customHeight="1">
      <c r="A20" s="125">
        <v>14.0</v>
      </c>
      <c r="B20" s="96" t="s">
        <v>207</v>
      </c>
      <c r="C20" s="97" t="s">
        <v>208</v>
      </c>
      <c r="D20" s="97" t="s">
        <v>209</v>
      </c>
      <c r="E20" s="126"/>
      <c r="F20" s="127"/>
      <c r="G20" s="128" t="str">
        <f t="array" ref="G20">IFERROR(INDEX('Mr Sandeep Kumar'!G:G,MATCH($B20,'Mr Sandeep Kumar'!$B:$B,0)),IFERROR(INDEX('Mr Manu Vikraman'!G:G,MATCH($B20,'Mr Manu Vikraman'!$B:$B,0)),""))</f>
        <v/>
      </c>
      <c r="H20" s="128" t="str">
        <f t="array" ref="H20">IFERROR(INDEX('Mr Sandeep Kumar'!H:H,MATCH($B20,'Mr Sandeep Kumar'!$B:$B,0)),IFERROR(INDEX('Mr Manu Vikraman'!H:H,MATCH($B20,'Mr Manu Vikraman'!$B:$B,0)),""))</f>
        <v/>
      </c>
      <c r="I20" s="128" t="str">
        <f t="array" ref="I20">IFERROR(INDEX('Mr Sandeep Kumar'!I:I,MATCH($B20,'Mr Sandeep Kumar'!$B:$B,0)),IFERROR(INDEX('Mr Manu Vikraman'!I:I,MATCH($B20,'Mr Manu Vikraman'!$B:$B,0)),""))</f>
        <v/>
      </c>
      <c r="J20" s="128" t="str">
        <f t="array" ref="J20">IFERROR(INDEX('Mr Sandeep Kumar'!J:J,MATCH($B20,'Mr Sandeep Kumar'!$B:$B,0)),IFERROR(INDEX('Mr Manu Vikraman'!J:J,MATCH($B20,'Mr Manu Vikraman'!$B:$B,0)),""))</f>
        <v/>
      </c>
      <c r="K20" s="128" t="str">
        <f t="array" ref="K20">IFERROR(INDEX('Mr Sandeep Kumar'!K:K,MATCH($B20,'Mr Sandeep Kumar'!$B:$B,0)),IFERROR(INDEX('Mr Manu Vikraman'!K:K,MATCH($B20,'Mr Manu Vikraman'!$B:$B,0)),""))</f>
        <v/>
      </c>
      <c r="L20" s="128" t="str">
        <f t="array" ref="L20">IFERROR(INDEX('Mr Sandeep Kumar'!L:L,MATCH($B20,'Mr Sandeep Kumar'!$B:$B,0)),IFERROR(INDEX('Mr Manu Vikraman'!L:L,MATCH($B20,'Mr Manu Vikraman'!$B:$B,0)),""))</f>
        <v/>
      </c>
      <c r="M20" s="128" t="str">
        <f t="array" ref="M20">IFERROR(INDEX('Mr Sandeep Kumar'!M:M,MATCH($B20,'Mr Sandeep Kumar'!$B:$B,0)),IFERROR(INDEX('Mr Manu Vikraman'!M:M,MATCH($B20,'Mr Manu Vikraman'!$B:$B,0)),""))</f>
        <v/>
      </c>
      <c r="N20" s="128" t="str">
        <f t="array" ref="N20">IFERROR(INDEX('Mr Sandeep Kumar'!N:N,MATCH($B20,'Mr Sandeep Kumar'!$B:$B,0)),IFERROR(INDEX('Mr Manu Vikraman'!N:N,MATCH($B20,'Mr Manu Vikraman'!$B:$B,0)),""))</f>
        <v/>
      </c>
      <c r="O20" s="128" t="str">
        <f t="array" ref="O20">IFERROR(INDEX('Mr Sandeep Kumar'!O:O,MATCH($B20,'Mr Sandeep Kumar'!$B:$B,0)),IFERROR(INDEX('Mr Manu Vikraman'!O:O,MATCH($B20,'Mr Manu Vikraman'!$B:$B,0)),""))</f>
        <v/>
      </c>
      <c r="P20" s="128" t="str">
        <f t="array" ref="P20">IFERROR(INDEX('Mr Sandeep Kumar'!P:P,MATCH($B20,'Mr Sandeep Kumar'!$B:$B,0)),IFERROR(INDEX('Mr Manu Vikraman'!P:P,MATCH($B20,'Mr Manu Vikraman'!$B:$B,0)),""))</f>
        <v/>
      </c>
      <c r="Q20" s="129">
        <f t="shared" si="1"/>
        <v>0</v>
      </c>
      <c r="R20" s="130">
        <f t="shared" si="2"/>
        <v>0</v>
      </c>
      <c r="S20" s="131" t="str">
        <f t="shared" si="3"/>
        <v>D</v>
      </c>
      <c r="T20" s="131" t="str">
        <f t="shared" si="4"/>
        <v>Not Started</v>
      </c>
      <c r="U20" s="132"/>
    </row>
    <row r="21" ht="21.75" customHeight="1">
      <c r="A21" s="125">
        <v>15.0</v>
      </c>
      <c r="B21" s="96" t="s">
        <v>210</v>
      </c>
      <c r="C21" s="97" t="s">
        <v>211</v>
      </c>
      <c r="D21" s="97" t="s">
        <v>212</v>
      </c>
      <c r="E21" s="126"/>
      <c r="F21" s="127"/>
      <c r="G21" s="128" t="str">
        <f t="array" ref="G21">IFERROR(INDEX('Mr Sandeep Kumar'!G:G,MATCH($B21,'Mr Sandeep Kumar'!$B:$B,0)),IFERROR(INDEX('Mr Manu Vikraman'!G:G,MATCH($B21,'Mr Manu Vikraman'!$B:$B,0)),""))</f>
        <v/>
      </c>
      <c r="H21" s="128" t="str">
        <f t="array" ref="H21">IFERROR(INDEX('Mr Sandeep Kumar'!H:H,MATCH($B21,'Mr Sandeep Kumar'!$B:$B,0)),IFERROR(INDEX('Mr Manu Vikraman'!H:H,MATCH($B21,'Mr Manu Vikraman'!$B:$B,0)),""))</f>
        <v/>
      </c>
      <c r="I21" s="128" t="str">
        <f t="array" ref="I21">IFERROR(INDEX('Mr Sandeep Kumar'!I:I,MATCH($B21,'Mr Sandeep Kumar'!$B:$B,0)),IFERROR(INDEX('Mr Manu Vikraman'!I:I,MATCH($B21,'Mr Manu Vikraman'!$B:$B,0)),""))</f>
        <v/>
      </c>
      <c r="J21" s="128" t="str">
        <f t="array" ref="J21">IFERROR(INDEX('Mr Sandeep Kumar'!J:J,MATCH($B21,'Mr Sandeep Kumar'!$B:$B,0)),IFERROR(INDEX('Mr Manu Vikraman'!J:J,MATCH($B21,'Mr Manu Vikraman'!$B:$B,0)),""))</f>
        <v/>
      </c>
      <c r="K21" s="128" t="str">
        <f t="array" ref="K21">IFERROR(INDEX('Mr Sandeep Kumar'!K:K,MATCH($B21,'Mr Sandeep Kumar'!$B:$B,0)),IFERROR(INDEX('Mr Manu Vikraman'!K:K,MATCH($B21,'Mr Manu Vikraman'!$B:$B,0)),""))</f>
        <v/>
      </c>
      <c r="L21" s="128" t="str">
        <f t="array" ref="L21">IFERROR(INDEX('Mr Sandeep Kumar'!L:L,MATCH($B21,'Mr Sandeep Kumar'!$B:$B,0)),IFERROR(INDEX('Mr Manu Vikraman'!L:L,MATCH($B21,'Mr Manu Vikraman'!$B:$B,0)),""))</f>
        <v/>
      </c>
      <c r="M21" s="128" t="str">
        <f t="array" ref="M21">IFERROR(INDEX('Mr Sandeep Kumar'!M:M,MATCH($B21,'Mr Sandeep Kumar'!$B:$B,0)),IFERROR(INDEX('Mr Manu Vikraman'!M:M,MATCH($B21,'Mr Manu Vikraman'!$B:$B,0)),""))</f>
        <v/>
      </c>
      <c r="N21" s="128" t="str">
        <f t="array" ref="N21">IFERROR(INDEX('Mr Sandeep Kumar'!N:N,MATCH($B21,'Mr Sandeep Kumar'!$B:$B,0)),IFERROR(INDEX('Mr Manu Vikraman'!N:N,MATCH($B21,'Mr Manu Vikraman'!$B:$B,0)),""))</f>
        <v/>
      </c>
      <c r="O21" s="128" t="str">
        <f t="array" ref="O21">IFERROR(INDEX('Mr Sandeep Kumar'!O:O,MATCH($B21,'Mr Sandeep Kumar'!$B:$B,0)),IFERROR(INDEX('Mr Manu Vikraman'!O:O,MATCH($B21,'Mr Manu Vikraman'!$B:$B,0)),""))</f>
        <v/>
      </c>
      <c r="P21" s="128" t="str">
        <f t="array" ref="P21">IFERROR(INDEX('Mr Sandeep Kumar'!P:P,MATCH($B21,'Mr Sandeep Kumar'!$B:$B,0)),IFERROR(INDEX('Mr Manu Vikraman'!P:P,MATCH($B21,'Mr Manu Vikraman'!$B:$B,0)),""))</f>
        <v/>
      </c>
      <c r="Q21" s="129">
        <f t="shared" si="1"/>
        <v>0</v>
      </c>
      <c r="R21" s="130">
        <f t="shared" si="2"/>
        <v>0</v>
      </c>
      <c r="S21" s="131" t="str">
        <f t="shared" si="3"/>
        <v>D</v>
      </c>
      <c r="T21" s="131" t="str">
        <f t="shared" si="4"/>
        <v>Not Started</v>
      </c>
      <c r="U21" s="132"/>
    </row>
    <row r="22" ht="21.75" customHeight="1">
      <c r="A22" s="125">
        <v>16.0</v>
      </c>
      <c r="B22" s="96" t="s">
        <v>213</v>
      </c>
      <c r="C22" s="97" t="s">
        <v>214</v>
      </c>
      <c r="D22" s="97" t="s">
        <v>215</v>
      </c>
      <c r="E22" s="126"/>
      <c r="F22" s="127"/>
      <c r="G22" s="128" t="str">
        <f t="array" ref="G22">IFERROR(INDEX('Mr Sandeep Kumar'!G:G,MATCH($B22,'Mr Sandeep Kumar'!$B:$B,0)),IFERROR(INDEX('Mr Manu Vikraman'!G:G,MATCH($B22,'Mr Manu Vikraman'!$B:$B,0)),""))</f>
        <v/>
      </c>
      <c r="H22" s="128" t="str">
        <f t="array" ref="H22">IFERROR(INDEX('Mr Sandeep Kumar'!H:H,MATCH($B22,'Mr Sandeep Kumar'!$B:$B,0)),IFERROR(INDEX('Mr Manu Vikraman'!H:H,MATCH($B22,'Mr Manu Vikraman'!$B:$B,0)),""))</f>
        <v/>
      </c>
      <c r="I22" s="128" t="str">
        <f t="array" ref="I22">IFERROR(INDEX('Mr Sandeep Kumar'!I:I,MATCH($B22,'Mr Sandeep Kumar'!$B:$B,0)),IFERROR(INDEX('Mr Manu Vikraman'!I:I,MATCH($B22,'Mr Manu Vikraman'!$B:$B,0)),""))</f>
        <v/>
      </c>
      <c r="J22" s="128" t="str">
        <f t="array" ref="J22">IFERROR(INDEX('Mr Sandeep Kumar'!J:J,MATCH($B22,'Mr Sandeep Kumar'!$B:$B,0)),IFERROR(INDEX('Mr Manu Vikraman'!J:J,MATCH($B22,'Mr Manu Vikraman'!$B:$B,0)),""))</f>
        <v/>
      </c>
      <c r="K22" s="128" t="str">
        <f t="array" ref="K22">IFERROR(INDEX('Mr Sandeep Kumar'!K:K,MATCH($B22,'Mr Sandeep Kumar'!$B:$B,0)),IFERROR(INDEX('Mr Manu Vikraman'!K:K,MATCH($B22,'Mr Manu Vikraman'!$B:$B,0)),""))</f>
        <v/>
      </c>
      <c r="L22" s="128" t="str">
        <f t="array" ref="L22">IFERROR(INDEX('Mr Sandeep Kumar'!L:L,MATCH($B22,'Mr Sandeep Kumar'!$B:$B,0)),IFERROR(INDEX('Mr Manu Vikraman'!L:L,MATCH($B22,'Mr Manu Vikraman'!$B:$B,0)),""))</f>
        <v/>
      </c>
      <c r="M22" s="128" t="str">
        <f t="array" ref="M22">IFERROR(INDEX('Mr Sandeep Kumar'!M:M,MATCH($B22,'Mr Sandeep Kumar'!$B:$B,0)),IFERROR(INDEX('Mr Manu Vikraman'!M:M,MATCH($B22,'Mr Manu Vikraman'!$B:$B,0)),""))</f>
        <v/>
      </c>
      <c r="N22" s="128" t="str">
        <f t="array" ref="N22">IFERROR(INDEX('Mr Sandeep Kumar'!N:N,MATCH($B22,'Mr Sandeep Kumar'!$B:$B,0)),IFERROR(INDEX('Mr Manu Vikraman'!N:N,MATCH($B22,'Mr Manu Vikraman'!$B:$B,0)),""))</f>
        <v/>
      </c>
      <c r="O22" s="128" t="str">
        <f t="array" ref="O22">IFERROR(INDEX('Mr Sandeep Kumar'!O:O,MATCH($B22,'Mr Sandeep Kumar'!$B:$B,0)),IFERROR(INDEX('Mr Manu Vikraman'!O:O,MATCH($B22,'Mr Manu Vikraman'!$B:$B,0)),""))</f>
        <v/>
      </c>
      <c r="P22" s="128" t="str">
        <f t="array" ref="P22">IFERROR(INDEX('Mr Sandeep Kumar'!P:P,MATCH($B22,'Mr Sandeep Kumar'!$B:$B,0)),IFERROR(INDEX('Mr Manu Vikraman'!P:P,MATCH($B22,'Mr Manu Vikraman'!$B:$B,0)),""))</f>
        <v/>
      </c>
      <c r="Q22" s="129">
        <f t="shared" si="1"/>
        <v>0</v>
      </c>
      <c r="R22" s="130">
        <f t="shared" si="2"/>
        <v>0</v>
      </c>
      <c r="S22" s="131" t="str">
        <f t="shared" si="3"/>
        <v>D</v>
      </c>
      <c r="T22" s="131" t="str">
        <f t="shared" si="4"/>
        <v>Not Started</v>
      </c>
      <c r="U22" s="132"/>
    </row>
    <row r="23" ht="21.75" customHeight="1">
      <c r="A23" s="125">
        <v>17.0</v>
      </c>
      <c r="B23" s="96" t="s">
        <v>216</v>
      </c>
      <c r="C23" s="97" t="s">
        <v>217</v>
      </c>
      <c r="D23" s="97" t="s">
        <v>218</v>
      </c>
      <c r="E23" s="126"/>
      <c r="F23" s="127"/>
      <c r="G23" s="128" t="str">
        <f t="array" ref="G23">IFERROR(INDEX('Mr Sandeep Kumar'!G:G,MATCH($B23,'Mr Sandeep Kumar'!$B:$B,0)),IFERROR(INDEX('Mr Manu Vikraman'!G:G,MATCH($B23,'Mr Manu Vikraman'!$B:$B,0)),""))</f>
        <v/>
      </c>
      <c r="H23" s="128" t="str">
        <f t="array" ref="H23">IFERROR(INDEX('Mr Sandeep Kumar'!H:H,MATCH($B23,'Mr Sandeep Kumar'!$B:$B,0)),IFERROR(INDEX('Mr Manu Vikraman'!H:H,MATCH($B23,'Mr Manu Vikraman'!$B:$B,0)),""))</f>
        <v/>
      </c>
      <c r="I23" s="128" t="str">
        <f t="array" ref="I23">IFERROR(INDEX('Mr Sandeep Kumar'!I:I,MATCH($B23,'Mr Sandeep Kumar'!$B:$B,0)),IFERROR(INDEX('Mr Manu Vikraman'!I:I,MATCH($B23,'Mr Manu Vikraman'!$B:$B,0)),""))</f>
        <v/>
      </c>
      <c r="J23" s="128" t="str">
        <f t="array" ref="J23">IFERROR(INDEX('Mr Sandeep Kumar'!J:J,MATCH($B23,'Mr Sandeep Kumar'!$B:$B,0)),IFERROR(INDEX('Mr Manu Vikraman'!J:J,MATCH($B23,'Mr Manu Vikraman'!$B:$B,0)),""))</f>
        <v/>
      </c>
      <c r="K23" s="128" t="str">
        <f t="array" ref="K23">IFERROR(INDEX('Mr Sandeep Kumar'!K:K,MATCH($B23,'Mr Sandeep Kumar'!$B:$B,0)),IFERROR(INDEX('Mr Manu Vikraman'!K:K,MATCH($B23,'Mr Manu Vikraman'!$B:$B,0)),""))</f>
        <v/>
      </c>
      <c r="L23" s="128" t="str">
        <f t="array" ref="L23">IFERROR(INDEX('Mr Sandeep Kumar'!L:L,MATCH($B23,'Mr Sandeep Kumar'!$B:$B,0)),IFERROR(INDEX('Mr Manu Vikraman'!L:L,MATCH($B23,'Mr Manu Vikraman'!$B:$B,0)),""))</f>
        <v/>
      </c>
      <c r="M23" s="128" t="str">
        <f t="array" ref="M23">IFERROR(INDEX('Mr Sandeep Kumar'!M:M,MATCH($B23,'Mr Sandeep Kumar'!$B:$B,0)),IFERROR(INDEX('Mr Manu Vikraman'!M:M,MATCH($B23,'Mr Manu Vikraman'!$B:$B,0)),""))</f>
        <v/>
      </c>
      <c r="N23" s="128" t="str">
        <f t="array" ref="N23">IFERROR(INDEX('Mr Sandeep Kumar'!N:N,MATCH($B23,'Mr Sandeep Kumar'!$B:$B,0)),IFERROR(INDEX('Mr Manu Vikraman'!N:N,MATCH($B23,'Mr Manu Vikraman'!$B:$B,0)),""))</f>
        <v/>
      </c>
      <c r="O23" s="128" t="str">
        <f t="array" ref="O23">IFERROR(INDEX('Mr Sandeep Kumar'!O:O,MATCH($B23,'Mr Sandeep Kumar'!$B:$B,0)),IFERROR(INDEX('Mr Manu Vikraman'!O:O,MATCH($B23,'Mr Manu Vikraman'!$B:$B,0)),""))</f>
        <v/>
      </c>
      <c r="P23" s="128" t="str">
        <f t="array" ref="P23">IFERROR(INDEX('Mr Sandeep Kumar'!P:P,MATCH($B23,'Mr Sandeep Kumar'!$B:$B,0)),IFERROR(INDEX('Mr Manu Vikraman'!P:P,MATCH($B23,'Mr Manu Vikraman'!$B:$B,0)),""))</f>
        <v/>
      </c>
      <c r="Q23" s="129">
        <f t="shared" si="1"/>
        <v>0</v>
      </c>
      <c r="R23" s="130">
        <f t="shared" si="2"/>
        <v>0</v>
      </c>
      <c r="S23" s="131" t="str">
        <f t="shared" si="3"/>
        <v>D</v>
      </c>
      <c r="T23" s="131" t="str">
        <f t="shared" si="4"/>
        <v>Not Started</v>
      </c>
      <c r="U23" s="132"/>
    </row>
    <row r="24" ht="21.75" customHeight="1">
      <c r="A24" s="125">
        <v>18.0</v>
      </c>
      <c r="B24" s="96" t="s">
        <v>219</v>
      </c>
      <c r="C24" s="97" t="s">
        <v>220</v>
      </c>
      <c r="D24" s="97" t="s">
        <v>221</v>
      </c>
      <c r="E24" s="126"/>
      <c r="F24" s="127"/>
      <c r="G24" s="128" t="str">
        <f t="array" ref="G24">IFERROR(INDEX('Mr Sandeep Kumar'!G:G,MATCH($B24,'Mr Sandeep Kumar'!$B:$B,0)),IFERROR(INDEX('Mr Manu Vikraman'!G:G,MATCH($B24,'Mr Manu Vikraman'!$B:$B,0)),""))</f>
        <v/>
      </c>
      <c r="H24" s="128" t="str">
        <f t="array" ref="H24">IFERROR(INDEX('Mr Sandeep Kumar'!H:H,MATCH($B24,'Mr Sandeep Kumar'!$B:$B,0)),IFERROR(INDEX('Mr Manu Vikraman'!H:H,MATCH($B24,'Mr Manu Vikraman'!$B:$B,0)),""))</f>
        <v/>
      </c>
      <c r="I24" s="128" t="str">
        <f t="array" ref="I24">IFERROR(INDEX('Mr Sandeep Kumar'!I:I,MATCH($B24,'Mr Sandeep Kumar'!$B:$B,0)),IFERROR(INDEX('Mr Manu Vikraman'!I:I,MATCH($B24,'Mr Manu Vikraman'!$B:$B,0)),""))</f>
        <v/>
      </c>
      <c r="J24" s="128" t="str">
        <f t="array" ref="J24">IFERROR(INDEX('Mr Sandeep Kumar'!J:J,MATCH($B24,'Mr Sandeep Kumar'!$B:$B,0)),IFERROR(INDEX('Mr Manu Vikraman'!J:J,MATCH($B24,'Mr Manu Vikraman'!$B:$B,0)),""))</f>
        <v/>
      </c>
      <c r="K24" s="128" t="str">
        <f t="array" ref="K24">IFERROR(INDEX('Mr Sandeep Kumar'!K:K,MATCH($B24,'Mr Sandeep Kumar'!$B:$B,0)),IFERROR(INDEX('Mr Manu Vikraman'!K:K,MATCH($B24,'Mr Manu Vikraman'!$B:$B,0)),""))</f>
        <v/>
      </c>
      <c r="L24" s="128" t="str">
        <f t="array" ref="L24">IFERROR(INDEX('Mr Sandeep Kumar'!L:L,MATCH($B24,'Mr Sandeep Kumar'!$B:$B,0)),IFERROR(INDEX('Mr Manu Vikraman'!L:L,MATCH($B24,'Mr Manu Vikraman'!$B:$B,0)),""))</f>
        <v/>
      </c>
      <c r="M24" s="128" t="str">
        <f t="array" ref="M24">IFERROR(INDEX('Mr Sandeep Kumar'!M:M,MATCH($B24,'Mr Sandeep Kumar'!$B:$B,0)),IFERROR(INDEX('Mr Manu Vikraman'!M:M,MATCH($B24,'Mr Manu Vikraman'!$B:$B,0)),""))</f>
        <v/>
      </c>
      <c r="N24" s="128" t="str">
        <f t="array" ref="N24">IFERROR(INDEX('Mr Sandeep Kumar'!N:N,MATCH($B24,'Mr Sandeep Kumar'!$B:$B,0)),IFERROR(INDEX('Mr Manu Vikraman'!N:N,MATCH($B24,'Mr Manu Vikraman'!$B:$B,0)),""))</f>
        <v/>
      </c>
      <c r="O24" s="128" t="str">
        <f t="array" ref="O24">IFERROR(INDEX('Mr Sandeep Kumar'!O:O,MATCH($B24,'Mr Sandeep Kumar'!$B:$B,0)),IFERROR(INDEX('Mr Manu Vikraman'!O:O,MATCH($B24,'Mr Manu Vikraman'!$B:$B,0)),""))</f>
        <v/>
      </c>
      <c r="P24" s="128" t="str">
        <f t="array" ref="P24">IFERROR(INDEX('Mr Sandeep Kumar'!P:P,MATCH($B24,'Mr Sandeep Kumar'!$B:$B,0)),IFERROR(INDEX('Mr Manu Vikraman'!P:P,MATCH($B24,'Mr Manu Vikraman'!$B:$B,0)),""))</f>
        <v/>
      </c>
      <c r="Q24" s="129">
        <f t="shared" si="1"/>
        <v>0</v>
      </c>
      <c r="R24" s="130">
        <f t="shared" si="2"/>
        <v>0</v>
      </c>
      <c r="S24" s="131" t="str">
        <f t="shared" si="3"/>
        <v>D</v>
      </c>
      <c r="T24" s="131" t="str">
        <f t="shared" si="4"/>
        <v>Not Started</v>
      </c>
      <c r="U24" s="132"/>
    </row>
    <row r="25" ht="21.75" customHeight="1">
      <c r="A25" s="125">
        <v>19.0</v>
      </c>
      <c r="B25" s="96" t="s">
        <v>223</v>
      </c>
      <c r="C25" s="97" t="s">
        <v>224</v>
      </c>
      <c r="D25" s="97" t="s">
        <v>225</v>
      </c>
      <c r="E25" s="126"/>
      <c r="F25" s="127"/>
      <c r="G25" s="128" t="str">
        <f t="array" ref="G25">IFERROR(INDEX('Mr Sandeep Kumar'!G:G,MATCH($B25,'Mr Sandeep Kumar'!$B:$B,0)),IFERROR(INDEX('Mr Manu Vikraman'!G:G,MATCH($B25,'Mr Manu Vikraman'!$B:$B,0)),""))</f>
        <v/>
      </c>
      <c r="H25" s="128" t="str">
        <f t="array" ref="H25">IFERROR(INDEX('Mr Sandeep Kumar'!H:H,MATCH($B25,'Mr Sandeep Kumar'!$B:$B,0)),IFERROR(INDEX('Mr Manu Vikraman'!H:H,MATCH($B25,'Mr Manu Vikraman'!$B:$B,0)),""))</f>
        <v/>
      </c>
      <c r="I25" s="128" t="str">
        <f t="array" ref="I25">IFERROR(INDEX('Mr Sandeep Kumar'!I:I,MATCH($B25,'Mr Sandeep Kumar'!$B:$B,0)),IFERROR(INDEX('Mr Manu Vikraman'!I:I,MATCH($B25,'Mr Manu Vikraman'!$B:$B,0)),""))</f>
        <v/>
      </c>
      <c r="J25" s="128" t="str">
        <f t="array" ref="J25">IFERROR(INDEX('Mr Sandeep Kumar'!J:J,MATCH($B25,'Mr Sandeep Kumar'!$B:$B,0)),IFERROR(INDEX('Mr Manu Vikraman'!J:J,MATCH($B25,'Mr Manu Vikraman'!$B:$B,0)),""))</f>
        <v/>
      </c>
      <c r="K25" s="128" t="str">
        <f t="array" ref="K25">IFERROR(INDEX('Mr Sandeep Kumar'!K:K,MATCH($B25,'Mr Sandeep Kumar'!$B:$B,0)),IFERROR(INDEX('Mr Manu Vikraman'!K:K,MATCH($B25,'Mr Manu Vikraman'!$B:$B,0)),""))</f>
        <v/>
      </c>
      <c r="L25" s="128" t="str">
        <f t="array" ref="L25">IFERROR(INDEX('Mr Sandeep Kumar'!L:L,MATCH($B25,'Mr Sandeep Kumar'!$B:$B,0)),IFERROR(INDEX('Mr Manu Vikraman'!L:L,MATCH($B25,'Mr Manu Vikraman'!$B:$B,0)),""))</f>
        <v/>
      </c>
      <c r="M25" s="128" t="str">
        <f t="array" ref="M25">IFERROR(INDEX('Mr Sandeep Kumar'!M:M,MATCH($B25,'Mr Sandeep Kumar'!$B:$B,0)),IFERROR(INDEX('Mr Manu Vikraman'!M:M,MATCH($B25,'Mr Manu Vikraman'!$B:$B,0)),""))</f>
        <v/>
      </c>
      <c r="N25" s="128" t="str">
        <f t="array" ref="N25">IFERROR(INDEX('Mr Sandeep Kumar'!N:N,MATCH($B25,'Mr Sandeep Kumar'!$B:$B,0)),IFERROR(INDEX('Mr Manu Vikraman'!N:N,MATCH($B25,'Mr Manu Vikraman'!$B:$B,0)),""))</f>
        <v/>
      </c>
      <c r="O25" s="128" t="str">
        <f t="array" ref="O25">IFERROR(INDEX('Mr Sandeep Kumar'!O:O,MATCH($B25,'Mr Sandeep Kumar'!$B:$B,0)),IFERROR(INDEX('Mr Manu Vikraman'!O:O,MATCH($B25,'Mr Manu Vikraman'!$B:$B,0)),""))</f>
        <v/>
      </c>
      <c r="P25" s="128" t="str">
        <f t="array" ref="P25">IFERROR(INDEX('Mr Sandeep Kumar'!P:P,MATCH($B25,'Mr Sandeep Kumar'!$B:$B,0)),IFERROR(INDEX('Mr Manu Vikraman'!P:P,MATCH($B25,'Mr Manu Vikraman'!$B:$B,0)),""))</f>
        <v/>
      </c>
      <c r="Q25" s="129">
        <f t="shared" si="1"/>
        <v>0</v>
      </c>
      <c r="R25" s="130">
        <f t="shared" si="2"/>
        <v>0</v>
      </c>
      <c r="S25" s="131" t="str">
        <f t="shared" si="3"/>
        <v>D</v>
      </c>
      <c r="T25" s="131" t="str">
        <f t="shared" si="4"/>
        <v>Not Started</v>
      </c>
      <c r="U25" s="132"/>
    </row>
    <row r="26" ht="21.75" customHeight="1">
      <c r="A26" s="125">
        <v>20.0</v>
      </c>
      <c r="B26" s="96" t="s">
        <v>226</v>
      </c>
      <c r="C26" s="97" t="s">
        <v>227</v>
      </c>
      <c r="D26" s="97" t="s">
        <v>228</v>
      </c>
      <c r="E26" s="126"/>
      <c r="F26" s="127"/>
      <c r="G26" s="128" t="str">
        <f t="array" ref="G26">IFERROR(INDEX('Mr Sandeep Kumar'!G:G,MATCH($B26,'Mr Sandeep Kumar'!$B:$B,0)),IFERROR(INDEX('Mr Manu Vikraman'!G:G,MATCH($B26,'Mr Manu Vikraman'!$B:$B,0)),""))</f>
        <v/>
      </c>
      <c r="H26" s="128" t="str">
        <f t="array" ref="H26">IFERROR(INDEX('Mr Sandeep Kumar'!H:H,MATCH($B26,'Mr Sandeep Kumar'!$B:$B,0)),IFERROR(INDEX('Mr Manu Vikraman'!H:H,MATCH($B26,'Mr Manu Vikraman'!$B:$B,0)),""))</f>
        <v/>
      </c>
      <c r="I26" s="128" t="str">
        <f t="array" ref="I26">IFERROR(INDEX('Mr Sandeep Kumar'!I:I,MATCH($B26,'Mr Sandeep Kumar'!$B:$B,0)),IFERROR(INDEX('Mr Manu Vikraman'!I:I,MATCH($B26,'Mr Manu Vikraman'!$B:$B,0)),""))</f>
        <v/>
      </c>
      <c r="J26" s="128" t="str">
        <f t="array" ref="J26">IFERROR(INDEX('Mr Sandeep Kumar'!J:J,MATCH($B26,'Mr Sandeep Kumar'!$B:$B,0)),IFERROR(INDEX('Mr Manu Vikraman'!J:J,MATCH($B26,'Mr Manu Vikraman'!$B:$B,0)),""))</f>
        <v/>
      </c>
      <c r="K26" s="128" t="str">
        <f t="array" ref="K26">IFERROR(INDEX('Mr Sandeep Kumar'!K:K,MATCH($B26,'Mr Sandeep Kumar'!$B:$B,0)),IFERROR(INDEX('Mr Manu Vikraman'!K:K,MATCH($B26,'Mr Manu Vikraman'!$B:$B,0)),""))</f>
        <v/>
      </c>
      <c r="L26" s="128" t="str">
        <f t="array" ref="L26">IFERROR(INDEX('Mr Sandeep Kumar'!L:L,MATCH($B26,'Mr Sandeep Kumar'!$B:$B,0)),IFERROR(INDEX('Mr Manu Vikraman'!L:L,MATCH($B26,'Mr Manu Vikraman'!$B:$B,0)),""))</f>
        <v/>
      </c>
      <c r="M26" s="128" t="str">
        <f t="array" ref="M26">IFERROR(INDEX('Mr Sandeep Kumar'!M:M,MATCH($B26,'Mr Sandeep Kumar'!$B:$B,0)),IFERROR(INDEX('Mr Manu Vikraman'!M:M,MATCH($B26,'Mr Manu Vikraman'!$B:$B,0)),""))</f>
        <v/>
      </c>
      <c r="N26" s="128" t="str">
        <f t="array" ref="N26">IFERROR(INDEX('Mr Sandeep Kumar'!N:N,MATCH($B26,'Mr Sandeep Kumar'!$B:$B,0)),IFERROR(INDEX('Mr Manu Vikraman'!N:N,MATCH($B26,'Mr Manu Vikraman'!$B:$B,0)),""))</f>
        <v/>
      </c>
      <c r="O26" s="128" t="str">
        <f t="array" ref="O26">IFERROR(INDEX('Mr Sandeep Kumar'!O:O,MATCH($B26,'Mr Sandeep Kumar'!$B:$B,0)),IFERROR(INDEX('Mr Manu Vikraman'!O:O,MATCH($B26,'Mr Manu Vikraman'!$B:$B,0)),""))</f>
        <v/>
      </c>
      <c r="P26" s="128" t="str">
        <f t="array" ref="P26">IFERROR(INDEX('Mr Sandeep Kumar'!P:P,MATCH($B26,'Mr Sandeep Kumar'!$B:$B,0)),IFERROR(INDEX('Mr Manu Vikraman'!P:P,MATCH($B26,'Mr Manu Vikraman'!$B:$B,0)),""))</f>
        <v/>
      </c>
      <c r="Q26" s="129">
        <f t="shared" si="1"/>
        <v>0</v>
      </c>
      <c r="R26" s="130">
        <f t="shared" si="2"/>
        <v>0</v>
      </c>
      <c r="S26" s="131" t="str">
        <f t="shared" si="3"/>
        <v>D</v>
      </c>
      <c r="T26" s="131" t="str">
        <f t="shared" si="4"/>
        <v>Not Started</v>
      </c>
      <c r="U26" s="132"/>
    </row>
    <row r="27" ht="21.75" customHeight="1">
      <c r="A27" s="125">
        <v>21.0</v>
      </c>
      <c r="B27" s="96" t="s">
        <v>229</v>
      </c>
      <c r="C27" s="97" t="s">
        <v>230</v>
      </c>
      <c r="D27" s="97" t="s">
        <v>231</v>
      </c>
      <c r="E27" s="126"/>
      <c r="F27" s="127"/>
      <c r="G27" s="128" t="str">
        <f t="array" ref="G27">IFERROR(INDEX('Mr Sandeep Kumar'!G:G,MATCH($B27,'Mr Sandeep Kumar'!$B:$B,0)),IFERROR(INDEX('Mr Manu Vikraman'!G:G,MATCH($B27,'Mr Manu Vikraman'!$B:$B,0)),""))</f>
        <v/>
      </c>
      <c r="H27" s="128" t="str">
        <f t="array" ref="H27">IFERROR(INDEX('Mr Sandeep Kumar'!H:H,MATCH($B27,'Mr Sandeep Kumar'!$B:$B,0)),IFERROR(INDEX('Mr Manu Vikraman'!H:H,MATCH($B27,'Mr Manu Vikraman'!$B:$B,0)),""))</f>
        <v/>
      </c>
      <c r="I27" s="128" t="str">
        <f t="array" ref="I27">IFERROR(INDEX('Mr Sandeep Kumar'!I:I,MATCH($B27,'Mr Sandeep Kumar'!$B:$B,0)),IFERROR(INDEX('Mr Manu Vikraman'!I:I,MATCH($B27,'Mr Manu Vikraman'!$B:$B,0)),""))</f>
        <v/>
      </c>
      <c r="J27" s="128" t="str">
        <f t="array" ref="J27">IFERROR(INDEX('Mr Sandeep Kumar'!J:J,MATCH($B27,'Mr Sandeep Kumar'!$B:$B,0)),IFERROR(INDEX('Mr Manu Vikraman'!J:J,MATCH($B27,'Mr Manu Vikraman'!$B:$B,0)),""))</f>
        <v/>
      </c>
      <c r="K27" s="128" t="str">
        <f t="array" ref="K27">IFERROR(INDEX('Mr Sandeep Kumar'!K:K,MATCH($B27,'Mr Sandeep Kumar'!$B:$B,0)),IFERROR(INDEX('Mr Manu Vikraman'!K:K,MATCH($B27,'Mr Manu Vikraman'!$B:$B,0)),""))</f>
        <v/>
      </c>
      <c r="L27" s="128" t="str">
        <f t="array" ref="L27">IFERROR(INDEX('Mr Sandeep Kumar'!L:L,MATCH($B27,'Mr Sandeep Kumar'!$B:$B,0)),IFERROR(INDEX('Mr Manu Vikraman'!L:L,MATCH($B27,'Mr Manu Vikraman'!$B:$B,0)),""))</f>
        <v/>
      </c>
      <c r="M27" s="128" t="str">
        <f t="array" ref="M27">IFERROR(INDEX('Mr Sandeep Kumar'!M:M,MATCH($B27,'Mr Sandeep Kumar'!$B:$B,0)),IFERROR(INDEX('Mr Manu Vikraman'!M:M,MATCH($B27,'Mr Manu Vikraman'!$B:$B,0)),""))</f>
        <v/>
      </c>
      <c r="N27" s="128" t="str">
        <f t="array" ref="N27">IFERROR(INDEX('Mr Sandeep Kumar'!N:N,MATCH($B27,'Mr Sandeep Kumar'!$B:$B,0)),IFERROR(INDEX('Mr Manu Vikraman'!N:N,MATCH($B27,'Mr Manu Vikraman'!$B:$B,0)),""))</f>
        <v/>
      </c>
      <c r="O27" s="128" t="str">
        <f t="array" ref="O27">IFERROR(INDEX('Mr Sandeep Kumar'!O:O,MATCH($B27,'Mr Sandeep Kumar'!$B:$B,0)),IFERROR(INDEX('Mr Manu Vikraman'!O:O,MATCH($B27,'Mr Manu Vikraman'!$B:$B,0)),""))</f>
        <v/>
      </c>
      <c r="P27" s="128" t="str">
        <f t="array" ref="P27">IFERROR(INDEX('Mr Sandeep Kumar'!P:P,MATCH($B27,'Mr Sandeep Kumar'!$B:$B,0)),IFERROR(INDEX('Mr Manu Vikraman'!P:P,MATCH($B27,'Mr Manu Vikraman'!$B:$B,0)),""))</f>
        <v/>
      </c>
      <c r="Q27" s="129">
        <f t="shared" si="1"/>
        <v>0</v>
      </c>
      <c r="R27" s="130">
        <f t="shared" si="2"/>
        <v>0</v>
      </c>
      <c r="S27" s="131" t="str">
        <f t="shared" si="3"/>
        <v>D</v>
      </c>
      <c r="T27" s="131" t="str">
        <f t="shared" si="4"/>
        <v>Not Started</v>
      </c>
      <c r="U27" s="132"/>
    </row>
    <row r="28" ht="21.75" customHeight="1">
      <c r="A28" s="125">
        <v>22.0</v>
      </c>
      <c r="B28" s="96" t="s">
        <v>233</v>
      </c>
      <c r="C28" s="97" t="s">
        <v>234</v>
      </c>
      <c r="D28" s="97" t="s">
        <v>235</v>
      </c>
      <c r="E28" s="126"/>
      <c r="F28" s="127"/>
      <c r="G28" s="128" t="str">
        <f t="array" ref="G28">IFERROR(INDEX('Mr Sandeep Kumar'!G:G,MATCH($B28,'Mr Sandeep Kumar'!$B:$B,0)),IFERROR(INDEX('Mr Manu Vikraman'!G:G,MATCH($B28,'Mr Manu Vikraman'!$B:$B,0)),""))</f>
        <v/>
      </c>
      <c r="H28" s="128" t="str">
        <f t="array" ref="H28">IFERROR(INDEX('Mr Sandeep Kumar'!H:H,MATCH($B28,'Mr Sandeep Kumar'!$B:$B,0)),IFERROR(INDEX('Mr Manu Vikraman'!H:H,MATCH($B28,'Mr Manu Vikraman'!$B:$B,0)),""))</f>
        <v/>
      </c>
      <c r="I28" s="128" t="str">
        <f t="array" ref="I28">IFERROR(INDEX('Mr Sandeep Kumar'!I:I,MATCH($B28,'Mr Sandeep Kumar'!$B:$B,0)),IFERROR(INDEX('Mr Manu Vikraman'!I:I,MATCH($B28,'Mr Manu Vikraman'!$B:$B,0)),""))</f>
        <v/>
      </c>
      <c r="J28" s="128" t="str">
        <f t="array" ref="J28">IFERROR(INDEX('Mr Sandeep Kumar'!J:J,MATCH($B28,'Mr Sandeep Kumar'!$B:$B,0)),IFERROR(INDEX('Mr Manu Vikraman'!J:J,MATCH($B28,'Mr Manu Vikraman'!$B:$B,0)),""))</f>
        <v/>
      </c>
      <c r="K28" s="128" t="str">
        <f t="array" ref="K28">IFERROR(INDEX('Mr Sandeep Kumar'!K:K,MATCH($B28,'Mr Sandeep Kumar'!$B:$B,0)),IFERROR(INDEX('Mr Manu Vikraman'!K:K,MATCH($B28,'Mr Manu Vikraman'!$B:$B,0)),""))</f>
        <v/>
      </c>
      <c r="L28" s="128" t="str">
        <f t="array" ref="L28">IFERROR(INDEX('Mr Sandeep Kumar'!L:L,MATCH($B28,'Mr Sandeep Kumar'!$B:$B,0)),IFERROR(INDEX('Mr Manu Vikraman'!L:L,MATCH($B28,'Mr Manu Vikraman'!$B:$B,0)),""))</f>
        <v/>
      </c>
      <c r="M28" s="128" t="str">
        <f t="array" ref="M28">IFERROR(INDEX('Mr Sandeep Kumar'!M:M,MATCH($B28,'Mr Sandeep Kumar'!$B:$B,0)),IFERROR(INDEX('Mr Manu Vikraman'!M:M,MATCH($B28,'Mr Manu Vikraman'!$B:$B,0)),""))</f>
        <v/>
      </c>
      <c r="N28" s="128" t="str">
        <f t="array" ref="N28">IFERROR(INDEX('Mr Sandeep Kumar'!N:N,MATCH($B28,'Mr Sandeep Kumar'!$B:$B,0)),IFERROR(INDEX('Mr Manu Vikraman'!N:N,MATCH($B28,'Mr Manu Vikraman'!$B:$B,0)),""))</f>
        <v/>
      </c>
      <c r="O28" s="128" t="str">
        <f t="array" ref="O28">IFERROR(INDEX('Mr Sandeep Kumar'!O:O,MATCH($B28,'Mr Sandeep Kumar'!$B:$B,0)),IFERROR(INDEX('Mr Manu Vikraman'!O:O,MATCH($B28,'Mr Manu Vikraman'!$B:$B,0)),""))</f>
        <v/>
      </c>
      <c r="P28" s="128" t="str">
        <f t="array" ref="P28">IFERROR(INDEX('Mr Sandeep Kumar'!P:P,MATCH($B28,'Mr Sandeep Kumar'!$B:$B,0)),IFERROR(INDEX('Mr Manu Vikraman'!P:P,MATCH($B28,'Mr Manu Vikraman'!$B:$B,0)),""))</f>
        <v/>
      </c>
      <c r="Q28" s="129">
        <f t="shared" si="1"/>
        <v>0</v>
      </c>
      <c r="R28" s="130">
        <f t="shared" si="2"/>
        <v>0</v>
      </c>
      <c r="S28" s="131" t="str">
        <f t="shared" si="3"/>
        <v>D</v>
      </c>
      <c r="T28" s="131" t="str">
        <f t="shared" si="4"/>
        <v>Not Started</v>
      </c>
      <c r="U28" s="132"/>
    </row>
    <row r="29" ht="21.75" customHeight="1">
      <c r="A29" s="125">
        <v>23.0</v>
      </c>
      <c r="B29" s="96" t="s">
        <v>236</v>
      </c>
      <c r="C29" s="97" t="s">
        <v>237</v>
      </c>
      <c r="D29" s="97" t="s">
        <v>238</v>
      </c>
      <c r="E29" s="126"/>
      <c r="F29" s="127"/>
      <c r="G29" s="128" t="str">
        <f t="array" ref="G29">IFERROR(INDEX('Mr Sandeep Kumar'!G:G,MATCH($B29,'Mr Sandeep Kumar'!$B:$B,0)),IFERROR(INDEX('Mr Manu Vikraman'!G:G,MATCH($B29,'Mr Manu Vikraman'!$B:$B,0)),""))</f>
        <v/>
      </c>
      <c r="H29" s="128" t="str">
        <f t="array" ref="H29">IFERROR(INDEX('Mr Sandeep Kumar'!H:H,MATCH($B29,'Mr Sandeep Kumar'!$B:$B,0)),IFERROR(INDEX('Mr Manu Vikraman'!H:H,MATCH($B29,'Mr Manu Vikraman'!$B:$B,0)),""))</f>
        <v/>
      </c>
      <c r="I29" s="128" t="str">
        <f t="array" ref="I29">IFERROR(INDEX('Mr Sandeep Kumar'!I:I,MATCH($B29,'Mr Sandeep Kumar'!$B:$B,0)),IFERROR(INDEX('Mr Manu Vikraman'!I:I,MATCH($B29,'Mr Manu Vikraman'!$B:$B,0)),""))</f>
        <v/>
      </c>
      <c r="J29" s="128" t="str">
        <f t="array" ref="J29">IFERROR(INDEX('Mr Sandeep Kumar'!J:J,MATCH($B29,'Mr Sandeep Kumar'!$B:$B,0)),IFERROR(INDEX('Mr Manu Vikraman'!J:J,MATCH($B29,'Mr Manu Vikraman'!$B:$B,0)),""))</f>
        <v/>
      </c>
      <c r="K29" s="128" t="str">
        <f t="array" ref="K29">IFERROR(INDEX('Mr Sandeep Kumar'!K:K,MATCH($B29,'Mr Sandeep Kumar'!$B:$B,0)),IFERROR(INDEX('Mr Manu Vikraman'!K:K,MATCH($B29,'Mr Manu Vikraman'!$B:$B,0)),""))</f>
        <v/>
      </c>
      <c r="L29" s="128" t="str">
        <f t="array" ref="L29">IFERROR(INDEX('Mr Sandeep Kumar'!L:L,MATCH($B29,'Mr Sandeep Kumar'!$B:$B,0)),IFERROR(INDEX('Mr Manu Vikraman'!L:L,MATCH($B29,'Mr Manu Vikraman'!$B:$B,0)),""))</f>
        <v/>
      </c>
      <c r="M29" s="128" t="str">
        <f t="array" ref="M29">IFERROR(INDEX('Mr Sandeep Kumar'!M:M,MATCH($B29,'Mr Sandeep Kumar'!$B:$B,0)),IFERROR(INDEX('Mr Manu Vikraman'!M:M,MATCH($B29,'Mr Manu Vikraman'!$B:$B,0)),""))</f>
        <v/>
      </c>
      <c r="N29" s="128" t="str">
        <f t="array" ref="N29">IFERROR(INDEX('Mr Sandeep Kumar'!N:N,MATCH($B29,'Mr Sandeep Kumar'!$B:$B,0)),IFERROR(INDEX('Mr Manu Vikraman'!N:N,MATCH($B29,'Mr Manu Vikraman'!$B:$B,0)),""))</f>
        <v/>
      </c>
      <c r="O29" s="128" t="str">
        <f t="array" ref="O29">IFERROR(INDEX('Mr Sandeep Kumar'!O:O,MATCH($B29,'Mr Sandeep Kumar'!$B:$B,0)),IFERROR(INDEX('Mr Manu Vikraman'!O:O,MATCH($B29,'Mr Manu Vikraman'!$B:$B,0)),""))</f>
        <v/>
      </c>
      <c r="P29" s="128" t="str">
        <f t="array" ref="P29">IFERROR(INDEX('Mr Sandeep Kumar'!P:P,MATCH($B29,'Mr Sandeep Kumar'!$B:$B,0)),IFERROR(INDEX('Mr Manu Vikraman'!P:P,MATCH($B29,'Mr Manu Vikraman'!$B:$B,0)),""))</f>
        <v/>
      </c>
      <c r="Q29" s="129">
        <f t="shared" si="1"/>
        <v>0</v>
      </c>
      <c r="R29" s="130">
        <f t="shared" si="2"/>
        <v>0</v>
      </c>
      <c r="S29" s="131" t="str">
        <f t="shared" si="3"/>
        <v>D</v>
      </c>
      <c r="T29" s="131" t="str">
        <f t="shared" si="4"/>
        <v>Not Started</v>
      </c>
      <c r="U29" s="132"/>
    </row>
    <row r="30" ht="21.75" customHeight="1">
      <c r="A30" s="125">
        <v>24.0</v>
      </c>
      <c r="B30" s="96" t="s">
        <v>239</v>
      </c>
      <c r="C30" s="97" t="s">
        <v>240</v>
      </c>
      <c r="D30" s="97" t="s">
        <v>241</v>
      </c>
      <c r="E30" s="126"/>
      <c r="F30" s="127"/>
      <c r="G30" s="128" t="str">
        <f t="array" ref="G30">IFERROR(INDEX('Mr Sandeep Kumar'!G:G,MATCH($B30,'Mr Sandeep Kumar'!$B:$B,0)),IFERROR(INDEX('Mr Manu Vikraman'!G:G,MATCH($B30,'Mr Manu Vikraman'!$B:$B,0)),""))</f>
        <v/>
      </c>
      <c r="H30" s="128" t="str">
        <f t="array" ref="H30">IFERROR(INDEX('Mr Sandeep Kumar'!H:H,MATCH($B30,'Mr Sandeep Kumar'!$B:$B,0)),IFERROR(INDEX('Mr Manu Vikraman'!H:H,MATCH($B30,'Mr Manu Vikraman'!$B:$B,0)),""))</f>
        <v/>
      </c>
      <c r="I30" s="128" t="str">
        <f t="array" ref="I30">IFERROR(INDEX('Mr Sandeep Kumar'!I:I,MATCH($B30,'Mr Sandeep Kumar'!$B:$B,0)),IFERROR(INDEX('Mr Manu Vikraman'!I:I,MATCH($B30,'Mr Manu Vikraman'!$B:$B,0)),""))</f>
        <v/>
      </c>
      <c r="J30" s="128" t="str">
        <f t="array" ref="J30">IFERROR(INDEX('Mr Sandeep Kumar'!J:J,MATCH($B30,'Mr Sandeep Kumar'!$B:$B,0)),IFERROR(INDEX('Mr Manu Vikraman'!J:J,MATCH($B30,'Mr Manu Vikraman'!$B:$B,0)),""))</f>
        <v/>
      </c>
      <c r="K30" s="128" t="str">
        <f t="array" ref="K30">IFERROR(INDEX('Mr Sandeep Kumar'!K:K,MATCH($B30,'Mr Sandeep Kumar'!$B:$B,0)),IFERROR(INDEX('Mr Manu Vikraman'!K:K,MATCH($B30,'Mr Manu Vikraman'!$B:$B,0)),""))</f>
        <v/>
      </c>
      <c r="L30" s="128" t="str">
        <f t="array" ref="L30">IFERROR(INDEX('Mr Sandeep Kumar'!L:L,MATCH($B30,'Mr Sandeep Kumar'!$B:$B,0)),IFERROR(INDEX('Mr Manu Vikraman'!L:L,MATCH($B30,'Mr Manu Vikraman'!$B:$B,0)),""))</f>
        <v/>
      </c>
      <c r="M30" s="128" t="str">
        <f t="array" ref="M30">IFERROR(INDEX('Mr Sandeep Kumar'!M:M,MATCH($B30,'Mr Sandeep Kumar'!$B:$B,0)),IFERROR(INDEX('Mr Manu Vikraman'!M:M,MATCH($B30,'Mr Manu Vikraman'!$B:$B,0)),""))</f>
        <v/>
      </c>
      <c r="N30" s="128" t="str">
        <f t="array" ref="N30">IFERROR(INDEX('Mr Sandeep Kumar'!N:N,MATCH($B30,'Mr Sandeep Kumar'!$B:$B,0)),IFERROR(INDEX('Mr Manu Vikraman'!N:N,MATCH($B30,'Mr Manu Vikraman'!$B:$B,0)),""))</f>
        <v/>
      </c>
      <c r="O30" s="128" t="str">
        <f t="array" ref="O30">IFERROR(INDEX('Mr Sandeep Kumar'!O:O,MATCH($B30,'Mr Sandeep Kumar'!$B:$B,0)),IFERROR(INDEX('Mr Manu Vikraman'!O:O,MATCH($B30,'Mr Manu Vikraman'!$B:$B,0)),""))</f>
        <v/>
      </c>
      <c r="P30" s="128" t="str">
        <f t="array" ref="P30">IFERROR(INDEX('Mr Sandeep Kumar'!P:P,MATCH($B30,'Mr Sandeep Kumar'!$B:$B,0)),IFERROR(INDEX('Mr Manu Vikraman'!P:P,MATCH($B30,'Mr Manu Vikraman'!$B:$B,0)),""))</f>
        <v/>
      </c>
      <c r="Q30" s="129">
        <f t="shared" si="1"/>
        <v>0</v>
      </c>
      <c r="R30" s="130">
        <f t="shared" si="2"/>
        <v>0</v>
      </c>
      <c r="S30" s="131" t="str">
        <f t="shared" si="3"/>
        <v>D</v>
      </c>
      <c r="T30" s="131" t="str">
        <f t="shared" si="4"/>
        <v>Not Started</v>
      </c>
      <c r="U30" s="132"/>
    </row>
    <row r="31" ht="21.75" customHeight="1">
      <c r="A31" s="125">
        <v>25.0</v>
      </c>
      <c r="B31" s="96" t="s">
        <v>242</v>
      </c>
      <c r="C31" s="97" t="s">
        <v>243</v>
      </c>
      <c r="D31" s="97" t="s">
        <v>244</v>
      </c>
      <c r="E31" s="126"/>
      <c r="F31" s="127"/>
      <c r="G31" s="128" t="str">
        <f t="array" ref="G31">IFERROR(INDEX('Mr Sandeep Kumar'!G:G,MATCH($B31,'Mr Sandeep Kumar'!$B:$B,0)),IFERROR(INDEX('Mr Manu Vikraman'!G:G,MATCH($B31,'Mr Manu Vikraman'!$B:$B,0)),""))</f>
        <v/>
      </c>
      <c r="H31" s="128" t="str">
        <f t="array" ref="H31">IFERROR(INDEX('Mr Sandeep Kumar'!H:H,MATCH($B31,'Mr Sandeep Kumar'!$B:$B,0)),IFERROR(INDEX('Mr Manu Vikraman'!H:H,MATCH($B31,'Mr Manu Vikraman'!$B:$B,0)),""))</f>
        <v/>
      </c>
      <c r="I31" s="128" t="str">
        <f t="array" ref="I31">IFERROR(INDEX('Mr Sandeep Kumar'!I:I,MATCH($B31,'Mr Sandeep Kumar'!$B:$B,0)),IFERROR(INDEX('Mr Manu Vikraman'!I:I,MATCH($B31,'Mr Manu Vikraman'!$B:$B,0)),""))</f>
        <v/>
      </c>
      <c r="J31" s="128" t="str">
        <f t="array" ref="J31">IFERROR(INDEX('Mr Sandeep Kumar'!J:J,MATCH($B31,'Mr Sandeep Kumar'!$B:$B,0)),IFERROR(INDEX('Mr Manu Vikraman'!J:J,MATCH($B31,'Mr Manu Vikraman'!$B:$B,0)),""))</f>
        <v/>
      </c>
      <c r="K31" s="128" t="str">
        <f t="array" ref="K31">IFERROR(INDEX('Mr Sandeep Kumar'!K:K,MATCH($B31,'Mr Sandeep Kumar'!$B:$B,0)),IFERROR(INDEX('Mr Manu Vikraman'!K:K,MATCH($B31,'Mr Manu Vikraman'!$B:$B,0)),""))</f>
        <v/>
      </c>
      <c r="L31" s="128" t="str">
        <f t="array" ref="L31">IFERROR(INDEX('Mr Sandeep Kumar'!L:L,MATCH($B31,'Mr Sandeep Kumar'!$B:$B,0)),IFERROR(INDEX('Mr Manu Vikraman'!L:L,MATCH($B31,'Mr Manu Vikraman'!$B:$B,0)),""))</f>
        <v/>
      </c>
      <c r="M31" s="128" t="str">
        <f t="array" ref="M31">IFERROR(INDEX('Mr Sandeep Kumar'!M:M,MATCH($B31,'Mr Sandeep Kumar'!$B:$B,0)),IFERROR(INDEX('Mr Manu Vikraman'!M:M,MATCH($B31,'Mr Manu Vikraman'!$B:$B,0)),""))</f>
        <v/>
      </c>
      <c r="N31" s="128" t="str">
        <f t="array" ref="N31">IFERROR(INDEX('Mr Sandeep Kumar'!N:N,MATCH($B31,'Mr Sandeep Kumar'!$B:$B,0)),IFERROR(INDEX('Mr Manu Vikraman'!N:N,MATCH($B31,'Mr Manu Vikraman'!$B:$B,0)),""))</f>
        <v/>
      </c>
      <c r="O31" s="128" t="str">
        <f t="array" ref="O31">IFERROR(INDEX('Mr Sandeep Kumar'!O:O,MATCH($B31,'Mr Sandeep Kumar'!$B:$B,0)),IFERROR(INDEX('Mr Manu Vikraman'!O:O,MATCH($B31,'Mr Manu Vikraman'!$B:$B,0)),""))</f>
        <v/>
      </c>
      <c r="P31" s="128" t="str">
        <f t="array" ref="P31">IFERROR(INDEX('Mr Sandeep Kumar'!P:P,MATCH($B31,'Mr Sandeep Kumar'!$B:$B,0)),IFERROR(INDEX('Mr Manu Vikraman'!P:P,MATCH($B31,'Mr Manu Vikraman'!$B:$B,0)),""))</f>
        <v/>
      </c>
      <c r="Q31" s="129">
        <f t="shared" si="1"/>
        <v>0</v>
      </c>
      <c r="R31" s="130">
        <f t="shared" si="2"/>
        <v>0</v>
      </c>
      <c r="S31" s="131" t="str">
        <f t="shared" si="3"/>
        <v>D</v>
      </c>
      <c r="T31" s="131" t="str">
        <f t="shared" si="4"/>
        <v>Not Started</v>
      </c>
      <c r="U31" s="132"/>
    </row>
    <row r="32" ht="21.75" customHeight="1">
      <c r="A32" s="125">
        <v>26.0</v>
      </c>
      <c r="B32" s="96" t="s">
        <v>246</v>
      </c>
      <c r="C32" s="97" t="s">
        <v>247</v>
      </c>
      <c r="D32" s="97" t="s">
        <v>248</v>
      </c>
      <c r="E32" s="126"/>
      <c r="F32" s="127"/>
      <c r="G32" s="128" t="str">
        <f t="array" ref="G32">IFERROR(INDEX('Mr Sandeep Kumar'!G:G,MATCH($B32,'Mr Sandeep Kumar'!$B:$B,0)),IFERROR(INDEX('Mr Manu Vikraman'!G:G,MATCH($B32,'Mr Manu Vikraman'!$B:$B,0)),""))</f>
        <v/>
      </c>
      <c r="H32" s="128" t="str">
        <f t="array" ref="H32">IFERROR(INDEX('Mr Sandeep Kumar'!H:H,MATCH($B32,'Mr Sandeep Kumar'!$B:$B,0)),IFERROR(INDEX('Mr Manu Vikraman'!H:H,MATCH($B32,'Mr Manu Vikraman'!$B:$B,0)),""))</f>
        <v/>
      </c>
      <c r="I32" s="128" t="str">
        <f t="array" ref="I32">IFERROR(INDEX('Mr Sandeep Kumar'!I:I,MATCH($B32,'Mr Sandeep Kumar'!$B:$B,0)),IFERROR(INDEX('Mr Manu Vikraman'!I:I,MATCH($B32,'Mr Manu Vikraman'!$B:$B,0)),""))</f>
        <v/>
      </c>
      <c r="J32" s="128" t="str">
        <f t="array" ref="J32">IFERROR(INDEX('Mr Sandeep Kumar'!J:J,MATCH($B32,'Mr Sandeep Kumar'!$B:$B,0)),IFERROR(INDEX('Mr Manu Vikraman'!J:J,MATCH($B32,'Mr Manu Vikraman'!$B:$B,0)),""))</f>
        <v/>
      </c>
      <c r="K32" s="128" t="str">
        <f t="array" ref="K32">IFERROR(INDEX('Mr Sandeep Kumar'!K:K,MATCH($B32,'Mr Sandeep Kumar'!$B:$B,0)),IFERROR(INDEX('Mr Manu Vikraman'!K:K,MATCH($B32,'Mr Manu Vikraman'!$B:$B,0)),""))</f>
        <v/>
      </c>
      <c r="L32" s="128" t="str">
        <f t="array" ref="L32">IFERROR(INDEX('Mr Sandeep Kumar'!L:L,MATCH($B32,'Mr Sandeep Kumar'!$B:$B,0)),IFERROR(INDEX('Mr Manu Vikraman'!L:L,MATCH($B32,'Mr Manu Vikraman'!$B:$B,0)),""))</f>
        <v/>
      </c>
      <c r="M32" s="128" t="str">
        <f t="array" ref="M32">IFERROR(INDEX('Mr Sandeep Kumar'!M:M,MATCH($B32,'Mr Sandeep Kumar'!$B:$B,0)),IFERROR(INDEX('Mr Manu Vikraman'!M:M,MATCH($B32,'Mr Manu Vikraman'!$B:$B,0)),""))</f>
        <v/>
      </c>
      <c r="N32" s="128" t="str">
        <f t="array" ref="N32">IFERROR(INDEX('Mr Sandeep Kumar'!N:N,MATCH($B32,'Mr Sandeep Kumar'!$B:$B,0)),IFERROR(INDEX('Mr Manu Vikraman'!N:N,MATCH($B32,'Mr Manu Vikraman'!$B:$B,0)),""))</f>
        <v/>
      </c>
      <c r="O32" s="128" t="str">
        <f t="array" ref="O32">IFERROR(INDEX('Mr Sandeep Kumar'!O:O,MATCH($B32,'Mr Sandeep Kumar'!$B:$B,0)),IFERROR(INDEX('Mr Manu Vikraman'!O:O,MATCH($B32,'Mr Manu Vikraman'!$B:$B,0)),""))</f>
        <v/>
      </c>
      <c r="P32" s="128" t="str">
        <f t="array" ref="P32">IFERROR(INDEX('Mr Sandeep Kumar'!P:P,MATCH($B32,'Mr Sandeep Kumar'!$B:$B,0)),IFERROR(INDEX('Mr Manu Vikraman'!P:P,MATCH($B32,'Mr Manu Vikraman'!$B:$B,0)),""))</f>
        <v/>
      </c>
      <c r="Q32" s="129">
        <f t="shared" si="1"/>
        <v>0</v>
      </c>
      <c r="R32" s="130">
        <f t="shared" si="2"/>
        <v>0</v>
      </c>
      <c r="S32" s="131" t="str">
        <f t="shared" si="3"/>
        <v>D</v>
      </c>
      <c r="T32" s="131" t="str">
        <f t="shared" si="4"/>
        <v>Not Started</v>
      </c>
      <c r="U32" s="132"/>
    </row>
    <row r="33" ht="21.75" customHeight="1">
      <c r="A33" s="125">
        <v>27.0</v>
      </c>
      <c r="B33" s="96" t="s">
        <v>250</v>
      </c>
      <c r="C33" s="97" t="s">
        <v>251</v>
      </c>
      <c r="D33" s="97" t="s">
        <v>252</v>
      </c>
      <c r="E33" s="126"/>
      <c r="F33" s="127"/>
      <c r="G33" s="128" t="str">
        <f t="array" ref="G33">IFERROR(INDEX('Mr Sandeep Kumar'!G:G,MATCH($B33,'Mr Sandeep Kumar'!$B:$B,0)),IFERROR(INDEX('Mr Manu Vikraman'!G:G,MATCH($B33,'Mr Manu Vikraman'!$B:$B,0)),""))</f>
        <v/>
      </c>
      <c r="H33" s="128" t="str">
        <f t="array" ref="H33">IFERROR(INDEX('Mr Sandeep Kumar'!H:H,MATCH($B33,'Mr Sandeep Kumar'!$B:$B,0)),IFERROR(INDEX('Mr Manu Vikraman'!H:H,MATCH($B33,'Mr Manu Vikraman'!$B:$B,0)),""))</f>
        <v/>
      </c>
      <c r="I33" s="128" t="str">
        <f t="array" ref="I33">IFERROR(INDEX('Mr Sandeep Kumar'!I:I,MATCH($B33,'Mr Sandeep Kumar'!$B:$B,0)),IFERROR(INDEX('Mr Manu Vikraman'!I:I,MATCH($B33,'Mr Manu Vikraman'!$B:$B,0)),""))</f>
        <v/>
      </c>
      <c r="J33" s="128" t="str">
        <f t="array" ref="J33">IFERROR(INDEX('Mr Sandeep Kumar'!J:J,MATCH($B33,'Mr Sandeep Kumar'!$B:$B,0)),IFERROR(INDEX('Mr Manu Vikraman'!J:J,MATCH($B33,'Mr Manu Vikraman'!$B:$B,0)),""))</f>
        <v/>
      </c>
      <c r="K33" s="128" t="str">
        <f t="array" ref="K33">IFERROR(INDEX('Mr Sandeep Kumar'!K:K,MATCH($B33,'Mr Sandeep Kumar'!$B:$B,0)),IFERROR(INDEX('Mr Manu Vikraman'!K:K,MATCH($B33,'Mr Manu Vikraman'!$B:$B,0)),""))</f>
        <v/>
      </c>
      <c r="L33" s="128" t="str">
        <f t="array" ref="L33">IFERROR(INDEX('Mr Sandeep Kumar'!L:L,MATCH($B33,'Mr Sandeep Kumar'!$B:$B,0)),IFERROR(INDEX('Mr Manu Vikraman'!L:L,MATCH($B33,'Mr Manu Vikraman'!$B:$B,0)),""))</f>
        <v/>
      </c>
      <c r="M33" s="128" t="str">
        <f t="array" ref="M33">IFERROR(INDEX('Mr Sandeep Kumar'!M:M,MATCH($B33,'Mr Sandeep Kumar'!$B:$B,0)),IFERROR(INDEX('Mr Manu Vikraman'!M:M,MATCH($B33,'Mr Manu Vikraman'!$B:$B,0)),""))</f>
        <v/>
      </c>
      <c r="N33" s="128" t="str">
        <f t="array" ref="N33">IFERROR(INDEX('Mr Sandeep Kumar'!N:N,MATCH($B33,'Mr Sandeep Kumar'!$B:$B,0)),IFERROR(INDEX('Mr Manu Vikraman'!N:N,MATCH($B33,'Mr Manu Vikraman'!$B:$B,0)),""))</f>
        <v/>
      </c>
      <c r="O33" s="128" t="str">
        <f t="array" ref="O33">IFERROR(INDEX('Mr Sandeep Kumar'!O:O,MATCH($B33,'Mr Sandeep Kumar'!$B:$B,0)),IFERROR(INDEX('Mr Manu Vikraman'!O:O,MATCH($B33,'Mr Manu Vikraman'!$B:$B,0)),""))</f>
        <v/>
      </c>
      <c r="P33" s="128" t="str">
        <f t="array" ref="P33">IFERROR(INDEX('Mr Sandeep Kumar'!P:P,MATCH($B33,'Mr Sandeep Kumar'!$B:$B,0)),IFERROR(INDEX('Mr Manu Vikraman'!P:P,MATCH($B33,'Mr Manu Vikraman'!$B:$B,0)),""))</f>
        <v/>
      </c>
      <c r="Q33" s="129">
        <f t="shared" si="1"/>
        <v>0</v>
      </c>
      <c r="R33" s="130">
        <f t="shared" si="2"/>
        <v>0</v>
      </c>
      <c r="S33" s="131" t="str">
        <f t="shared" si="3"/>
        <v>D</v>
      </c>
      <c r="T33" s="131" t="str">
        <f t="shared" si="4"/>
        <v>Not Started</v>
      </c>
      <c r="U33" s="132"/>
    </row>
    <row r="34" ht="21.75" customHeight="1">
      <c r="A34" s="125">
        <v>28.0</v>
      </c>
      <c r="B34" s="96" t="s">
        <v>254</v>
      </c>
      <c r="C34" s="97" t="s">
        <v>255</v>
      </c>
      <c r="D34" s="97" t="s">
        <v>256</v>
      </c>
      <c r="E34" s="126"/>
      <c r="F34" s="127"/>
      <c r="G34" s="128" t="str">
        <f t="array" ref="G34">IFERROR(INDEX('Mr Sandeep Kumar'!G:G,MATCH($B34,'Mr Sandeep Kumar'!$B:$B,0)),IFERROR(INDEX('Mr Manu Vikraman'!G:G,MATCH($B34,'Mr Manu Vikraman'!$B:$B,0)),""))</f>
        <v/>
      </c>
      <c r="H34" s="128" t="str">
        <f t="array" ref="H34">IFERROR(INDEX('Mr Sandeep Kumar'!H:H,MATCH($B34,'Mr Sandeep Kumar'!$B:$B,0)),IFERROR(INDEX('Mr Manu Vikraman'!H:H,MATCH($B34,'Mr Manu Vikraman'!$B:$B,0)),""))</f>
        <v/>
      </c>
      <c r="I34" s="128" t="str">
        <f t="array" ref="I34">IFERROR(INDEX('Mr Sandeep Kumar'!I:I,MATCH($B34,'Mr Sandeep Kumar'!$B:$B,0)),IFERROR(INDEX('Mr Manu Vikraman'!I:I,MATCH($B34,'Mr Manu Vikraman'!$B:$B,0)),""))</f>
        <v/>
      </c>
      <c r="J34" s="128" t="str">
        <f t="array" ref="J34">IFERROR(INDEX('Mr Sandeep Kumar'!J:J,MATCH($B34,'Mr Sandeep Kumar'!$B:$B,0)),IFERROR(INDEX('Mr Manu Vikraman'!J:J,MATCH($B34,'Mr Manu Vikraman'!$B:$B,0)),""))</f>
        <v/>
      </c>
      <c r="K34" s="128" t="str">
        <f t="array" ref="K34">IFERROR(INDEX('Mr Sandeep Kumar'!K:K,MATCH($B34,'Mr Sandeep Kumar'!$B:$B,0)),IFERROR(INDEX('Mr Manu Vikraman'!K:K,MATCH($B34,'Mr Manu Vikraman'!$B:$B,0)),""))</f>
        <v/>
      </c>
      <c r="L34" s="128" t="str">
        <f t="array" ref="L34">IFERROR(INDEX('Mr Sandeep Kumar'!L:L,MATCH($B34,'Mr Sandeep Kumar'!$B:$B,0)),IFERROR(INDEX('Mr Manu Vikraman'!L:L,MATCH($B34,'Mr Manu Vikraman'!$B:$B,0)),""))</f>
        <v/>
      </c>
      <c r="M34" s="128" t="str">
        <f t="array" ref="M34">IFERROR(INDEX('Mr Sandeep Kumar'!M:M,MATCH($B34,'Mr Sandeep Kumar'!$B:$B,0)),IFERROR(INDEX('Mr Manu Vikraman'!M:M,MATCH($B34,'Mr Manu Vikraman'!$B:$B,0)),""))</f>
        <v/>
      </c>
      <c r="N34" s="128" t="str">
        <f t="array" ref="N34">IFERROR(INDEX('Mr Sandeep Kumar'!N:N,MATCH($B34,'Mr Sandeep Kumar'!$B:$B,0)),IFERROR(INDEX('Mr Manu Vikraman'!N:N,MATCH($B34,'Mr Manu Vikraman'!$B:$B,0)),""))</f>
        <v/>
      </c>
      <c r="O34" s="128" t="str">
        <f t="array" ref="O34">IFERROR(INDEX('Mr Sandeep Kumar'!O:O,MATCH($B34,'Mr Sandeep Kumar'!$B:$B,0)),IFERROR(INDEX('Mr Manu Vikraman'!O:O,MATCH($B34,'Mr Manu Vikraman'!$B:$B,0)),""))</f>
        <v/>
      </c>
      <c r="P34" s="128" t="str">
        <f t="array" ref="P34">IFERROR(INDEX('Mr Sandeep Kumar'!P:P,MATCH($B34,'Mr Sandeep Kumar'!$B:$B,0)),IFERROR(INDEX('Mr Manu Vikraman'!P:P,MATCH($B34,'Mr Manu Vikraman'!$B:$B,0)),""))</f>
        <v/>
      </c>
      <c r="Q34" s="129">
        <f t="shared" si="1"/>
        <v>0</v>
      </c>
      <c r="R34" s="130">
        <f t="shared" si="2"/>
        <v>0</v>
      </c>
      <c r="S34" s="131" t="str">
        <f t="shared" si="3"/>
        <v>D</v>
      </c>
      <c r="T34" s="131" t="str">
        <f t="shared" si="4"/>
        <v>Not Started</v>
      </c>
      <c r="U34" s="132"/>
    </row>
    <row r="35" ht="21.75" customHeight="1">
      <c r="A35" s="125">
        <v>29.0</v>
      </c>
      <c r="B35" s="96" t="s">
        <v>257</v>
      </c>
      <c r="C35" s="97" t="s">
        <v>258</v>
      </c>
      <c r="D35" s="97" t="s">
        <v>259</v>
      </c>
      <c r="E35" s="126"/>
      <c r="F35" s="127"/>
      <c r="G35" s="128" t="str">
        <f t="array" ref="G35">IFERROR(INDEX('Mr Sandeep Kumar'!G:G,MATCH($B35,'Mr Sandeep Kumar'!$B:$B,0)),IFERROR(INDEX('Mr Manu Vikraman'!G:G,MATCH($B35,'Mr Manu Vikraman'!$B:$B,0)),""))</f>
        <v/>
      </c>
      <c r="H35" s="128" t="str">
        <f t="array" ref="H35">IFERROR(INDEX('Mr Sandeep Kumar'!H:H,MATCH($B35,'Mr Sandeep Kumar'!$B:$B,0)),IFERROR(INDEX('Mr Manu Vikraman'!H:H,MATCH($B35,'Mr Manu Vikraman'!$B:$B,0)),""))</f>
        <v/>
      </c>
      <c r="I35" s="128" t="str">
        <f t="array" ref="I35">IFERROR(INDEX('Mr Sandeep Kumar'!I:I,MATCH($B35,'Mr Sandeep Kumar'!$B:$B,0)),IFERROR(INDEX('Mr Manu Vikraman'!I:I,MATCH($B35,'Mr Manu Vikraman'!$B:$B,0)),""))</f>
        <v/>
      </c>
      <c r="J35" s="128" t="str">
        <f t="array" ref="J35">IFERROR(INDEX('Mr Sandeep Kumar'!J:J,MATCH($B35,'Mr Sandeep Kumar'!$B:$B,0)),IFERROR(INDEX('Mr Manu Vikraman'!J:J,MATCH($B35,'Mr Manu Vikraman'!$B:$B,0)),""))</f>
        <v/>
      </c>
      <c r="K35" s="128" t="str">
        <f t="array" ref="K35">IFERROR(INDEX('Mr Sandeep Kumar'!K:K,MATCH($B35,'Mr Sandeep Kumar'!$B:$B,0)),IFERROR(INDEX('Mr Manu Vikraman'!K:K,MATCH($B35,'Mr Manu Vikraman'!$B:$B,0)),""))</f>
        <v/>
      </c>
      <c r="L35" s="128" t="str">
        <f t="array" ref="L35">IFERROR(INDEX('Mr Sandeep Kumar'!L:L,MATCH($B35,'Mr Sandeep Kumar'!$B:$B,0)),IFERROR(INDEX('Mr Manu Vikraman'!L:L,MATCH($B35,'Mr Manu Vikraman'!$B:$B,0)),""))</f>
        <v/>
      </c>
      <c r="M35" s="128" t="str">
        <f t="array" ref="M35">IFERROR(INDEX('Mr Sandeep Kumar'!M:M,MATCH($B35,'Mr Sandeep Kumar'!$B:$B,0)),IFERROR(INDEX('Mr Manu Vikraman'!M:M,MATCH($B35,'Mr Manu Vikraman'!$B:$B,0)),""))</f>
        <v/>
      </c>
      <c r="N35" s="128" t="str">
        <f t="array" ref="N35">IFERROR(INDEX('Mr Sandeep Kumar'!N:N,MATCH($B35,'Mr Sandeep Kumar'!$B:$B,0)),IFERROR(INDEX('Mr Manu Vikraman'!N:N,MATCH($B35,'Mr Manu Vikraman'!$B:$B,0)),""))</f>
        <v/>
      </c>
      <c r="O35" s="128" t="str">
        <f t="array" ref="O35">IFERROR(INDEX('Mr Sandeep Kumar'!O:O,MATCH($B35,'Mr Sandeep Kumar'!$B:$B,0)),IFERROR(INDEX('Mr Manu Vikraman'!O:O,MATCH($B35,'Mr Manu Vikraman'!$B:$B,0)),""))</f>
        <v/>
      </c>
      <c r="P35" s="128" t="str">
        <f t="array" ref="P35">IFERROR(INDEX('Mr Sandeep Kumar'!P:P,MATCH($B35,'Mr Sandeep Kumar'!$B:$B,0)),IFERROR(INDEX('Mr Manu Vikraman'!P:P,MATCH($B35,'Mr Manu Vikraman'!$B:$B,0)),""))</f>
        <v/>
      </c>
      <c r="Q35" s="129">
        <f t="shared" si="1"/>
        <v>0</v>
      </c>
      <c r="R35" s="130">
        <f t="shared" si="2"/>
        <v>0</v>
      </c>
      <c r="S35" s="131" t="str">
        <f t="shared" si="3"/>
        <v>D</v>
      </c>
      <c r="T35" s="131" t="str">
        <f t="shared" si="4"/>
        <v>Not Started</v>
      </c>
      <c r="U35" s="132"/>
    </row>
    <row r="36" ht="21.75" customHeight="1">
      <c r="A36" s="125">
        <v>30.0</v>
      </c>
      <c r="B36" s="96" t="s">
        <v>261</v>
      </c>
      <c r="C36" s="97" t="s">
        <v>262</v>
      </c>
      <c r="D36" s="97" t="s">
        <v>263</v>
      </c>
      <c r="E36" s="126"/>
      <c r="F36" s="127"/>
      <c r="G36" s="128" t="str">
        <f t="array" ref="G36">IFERROR(INDEX('Mr Sandeep Kumar'!G:G,MATCH($B36,'Mr Sandeep Kumar'!$B:$B,0)),IFERROR(INDEX('Mr Manu Vikraman'!G:G,MATCH($B36,'Mr Manu Vikraman'!$B:$B,0)),""))</f>
        <v/>
      </c>
      <c r="H36" s="128" t="str">
        <f t="array" ref="H36">IFERROR(INDEX('Mr Sandeep Kumar'!H:H,MATCH($B36,'Mr Sandeep Kumar'!$B:$B,0)),IFERROR(INDEX('Mr Manu Vikraman'!H:H,MATCH($B36,'Mr Manu Vikraman'!$B:$B,0)),""))</f>
        <v/>
      </c>
      <c r="I36" s="128" t="str">
        <f t="array" ref="I36">IFERROR(INDEX('Mr Sandeep Kumar'!I:I,MATCH($B36,'Mr Sandeep Kumar'!$B:$B,0)),IFERROR(INDEX('Mr Manu Vikraman'!I:I,MATCH($B36,'Mr Manu Vikraman'!$B:$B,0)),""))</f>
        <v/>
      </c>
      <c r="J36" s="128" t="str">
        <f t="array" ref="J36">IFERROR(INDEX('Mr Sandeep Kumar'!J:J,MATCH($B36,'Mr Sandeep Kumar'!$B:$B,0)),IFERROR(INDEX('Mr Manu Vikraman'!J:J,MATCH($B36,'Mr Manu Vikraman'!$B:$B,0)),""))</f>
        <v/>
      </c>
      <c r="K36" s="128" t="str">
        <f t="array" ref="K36">IFERROR(INDEX('Mr Sandeep Kumar'!K:K,MATCH($B36,'Mr Sandeep Kumar'!$B:$B,0)),IFERROR(INDEX('Mr Manu Vikraman'!K:K,MATCH($B36,'Mr Manu Vikraman'!$B:$B,0)),""))</f>
        <v/>
      </c>
      <c r="L36" s="128" t="str">
        <f t="array" ref="L36">IFERROR(INDEX('Mr Sandeep Kumar'!L:L,MATCH($B36,'Mr Sandeep Kumar'!$B:$B,0)),IFERROR(INDEX('Mr Manu Vikraman'!L:L,MATCH($B36,'Mr Manu Vikraman'!$B:$B,0)),""))</f>
        <v/>
      </c>
      <c r="M36" s="128" t="str">
        <f t="array" ref="M36">IFERROR(INDEX('Mr Sandeep Kumar'!M:M,MATCH($B36,'Mr Sandeep Kumar'!$B:$B,0)),IFERROR(INDEX('Mr Manu Vikraman'!M:M,MATCH($B36,'Mr Manu Vikraman'!$B:$B,0)),""))</f>
        <v/>
      </c>
      <c r="N36" s="128" t="str">
        <f t="array" ref="N36">IFERROR(INDEX('Mr Sandeep Kumar'!N:N,MATCH($B36,'Mr Sandeep Kumar'!$B:$B,0)),IFERROR(INDEX('Mr Manu Vikraman'!N:N,MATCH($B36,'Mr Manu Vikraman'!$B:$B,0)),""))</f>
        <v/>
      </c>
      <c r="O36" s="128" t="str">
        <f t="array" ref="O36">IFERROR(INDEX('Mr Sandeep Kumar'!O:O,MATCH($B36,'Mr Sandeep Kumar'!$B:$B,0)),IFERROR(INDEX('Mr Manu Vikraman'!O:O,MATCH($B36,'Mr Manu Vikraman'!$B:$B,0)),""))</f>
        <v/>
      </c>
      <c r="P36" s="128" t="str">
        <f t="array" ref="P36">IFERROR(INDEX('Mr Sandeep Kumar'!P:P,MATCH($B36,'Mr Sandeep Kumar'!$B:$B,0)),IFERROR(INDEX('Mr Manu Vikraman'!P:P,MATCH($B36,'Mr Manu Vikraman'!$B:$B,0)),""))</f>
        <v/>
      </c>
      <c r="Q36" s="129">
        <f t="shared" si="1"/>
        <v>0</v>
      </c>
      <c r="R36" s="130">
        <f t="shared" si="2"/>
        <v>0</v>
      </c>
      <c r="S36" s="131" t="str">
        <f t="shared" si="3"/>
        <v>D</v>
      </c>
      <c r="T36" s="131" t="str">
        <f t="shared" si="4"/>
        <v>Not Started</v>
      </c>
      <c r="U36" s="132"/>
    </row>
    <row r="37" ht="21.75" customHeight="1">
      <c r="A37" s="125">
        <v>31.0</v>
      </c>
      <c r="B37" s="96" t="s">
        <v>264</v>
      </c>
      <c r="C37" s="97" t="s">
        <v>265</v>
      </c>
      <c r="D37" s="97" t="s">
        <v>266</v>
      </c>
      <c r="E37" s="126"/>
      <c r="F37" s="127"/>
      <c r="G37" s="128" t="str">
        <f t="array" ref="G37">IFERROR(INDEX('Mr Sandeep Kumar'!G:G,MATCH($B37,'Mr Sandeep Kumar'!$B:$B,0)),IFERROR(INDEX('Mr Manu Vikraman'!G:G,MATCH($B37,'Mr Manu Vikraman'!$B:$B,0)),""))</f>
        <v/>
      </c>
      <c r="H37" s="128" t="str">
        <f t="array" ref="H37">IFERROR(INDEX('Mr Sandeep Kumar'!H:H,MATCH($B37,'Mr Sandeep Kumar'!$B:$B,0)),IFERROR(INDEX('Mr Manu Vikraman'!H:H,MATCH($B37,'Mr Manu Vikraman'!$B:$B,0)),""))</f>
        <v/>
      </c>
      <c r="I37" s="128" t="str">
        <f t="array" ref="I37">IFERROR(INDEX('Mr Sandeep Kumar'!I:I,MATCH($B37,'Mr Sandeep Kumar'!$B:$B,0)),IFERROR(INDEX('Mr Manu Vikraman'!I:I,MATCH($B37,'Mr Manu Vikraman'!$B:$B,0)),""))</f>
        <v/>
      </c>
      <c r="J37" s="128" t="str">
        <f t="array" ref="J37">IFERROR(INDEX('Mr Sandeep Kumar'!J:J,MATCH($B37,'Mr Sandeep Kumar'!$B:$B,0)),IFERROR(INDEX('Mr Manu Vikraman'!J:J,MATCH($B37,'Mr Manu Vikraman'!$B:$B,0)),""))</f>
        <v/>
      </c>
      <c r="K37" s="128" t="str">
        <f t="array" ref="K37">IFERROR(INDEX('Mr Sandeep Kumar'!K:K,MATCH($B37,'Mr Sandeep Kumar'!$B:$B,0)),IFERROR(INDEX('Mr Manu Vikraman'!K:K,MATCH($B37,'Mr Manu Vikraman'!$B:$B,0)),""))</f>
        <v/>
      </c>
      <c r="L37" s="128" t="str">
        <f t="array" ref="L37">IFERROR(INDEX('Mr Sandeep Kumar'!L:L,MATCH($B37,'Mr Sandeep Kumar'!$B:$B,0)),IFERROR(INDEX('Mr Manu Vikraman'!L:L,MATCH($B37,'Mr Manu Vikraman'!$B:$B,0)),""))</f>
        <v/>
      </c>
      <c r="M37" s="128" t="str">
        <f t="array" ref="M37">IFERROR(INDEX('Mr Sandeep Kumar'!M:M,MATCH($B37,'Mr Sandeep Kumar'!$B:$B,0)),IFERROR(INDEX('Mr Manu Vikraman'!M:M,MATCH($B37,'Mr Manu Vikraman'!$B:$B,0)),""))</f>
        <v/>
      </c>
      <c r="N37" s="128" t="str">
        <f t="array" ref="N37">IFERROR(INDEX('Mr Sandeep Kumar'!N:N,MATCH($B37,'Mr Sandeep Kumar'!$B:$B,0)),IFERROR(INDEX('Mr Manu Vikraman'!N:N,MATCH($B37,'Mr Manu Vikraman'!$B:$B,0)),""))</f>
        <v/>
      </c>
      <c r="O37" s="128" t="str">
        <f t="array" ref="O37">IFERROR(INDEX('Mr Sandeep Kumar'!O:O,MATCH($B37,'Mr Sandeep Kumar'!$B:$B,0)),IFERROR(INDEX('Mr Manu Vikraman'!O:O,MATCH($B37,'Mr Manu Vikraman'!$B:$B,0)),""))</f>
        <v/>
      </c>
      <c r="P37" s="128" t="str">
        <f t="array" ref="P37">IFERROR(INDEX('Mr Sandeep Kumar'!P:P,MATCH($B37,'Mr Sandeep Kumar'!$B:$B,0)),IFERROR(INDEX('Mr Manu Vikraman'!P:P,MATCH($B37,'Mr Manu Vikraman'!$B:$B,0)),""))</f>
        <v/>
      </c>
      <c r="Q37" s="129">
        <f t="shared" si="1"/>
        <v>0</v>
      </c>
      <c r="R37" s="130">
        <f t="shared" si="2"/>
        <v>0</v>
      </c>
      <c r="S37" s="131" t="str">
        <f t="shared" si="3"/>
        <v>D</v>
      </c>
      <c r="T37" s="131" t="str">
        <f t="shared" si="4"/>
        <v>Not Started</v>
      </c>
      <c r="U37" s="132"/>
    </row>
    <row r="38" ht="21.75" customHeight="1">
      <c r="A38" s="125">
        <v>32.0</v>
      </c>
      <c r="B38" s="96" t="s">
        <v>268</v>
      </c>
      <c r="C38" s="97" t="s">
        <v>269</v>
      </c>
      <c r="D38" s="97" t="s">
        <v>270</v>
      </c>
      <c r="E38" s="126"/>
      <c r="F38" s="127"/>
      <c r="G38" s="128" t="str">
        <f t="array" ref="G38">IFERROR(INDEX('Mr Sandeep Kumar'!G:G,MATCH($B38,'Mr Sandeep Kumar'!$B:$B,0)),IFERROR(INDEX('Mr Manu Vikraman'!G:G,MATCH($B38,'Mr Manu Vikraman'!$B:$B,0)),""))</f>
        <v/>
      </c>
      <c r="H38" s="128" t="str">
        <f t="array" ref="H38">IFERROR(INDEX('Mr Sandeep Kumar'!H:H,MATCH($B38,'Mr Sandeep Kumar'!$B:$B,0)),IFERROR(INDEX('Mr Manu Vikraman'!H:H,MATCH($B38,'Mr Manu Vikraman'!$B:$B,0)),""))</f>
        <v/>
      </c>
      <c r="I38" s="128" t="str">
        <f t="array" ref="I38">IFERROR(INDEX('Mr Sandeep Kumar'!I:I,MATCH($B38,'Mr Sandeep Kumar'!$B:$B,0)),IFERROR(INDEX('Mr Manu Vikraman'!I:I,MATCH($B38,'Mr Manu Vikraman'!$B:$B,0)),""))</f>
        <v/>
      </c>
      <c r="J38" s="128" t="str">
        <f t="array" ref="J38">IFERROR(INDEX('Mr Sandeep Kumar'!J:J,MATCH($B38,'Mr Sandeep Kumar'!$B:$B,0)),IFERROR(INDEX('Mr Manu Vikraman'!J:J,MATCH($B38,'Mr Manu Vikraman'!$B:$B,0)),""))</f>
        <v/>
      </c>
      <c r="K38" s="128" t="str">
        <f t="array" ref="K38">IFERROR(INDEX('Mr Sandeep Kumar'!K:K,MATCH($B38,'Mr Sandeep Kumar'!$B:$B,0)),IFERROR(INDEX('Mr Manu Vikraman'!K:K,MATCH($B38,'Mr Manu Vikraman'!$B:$B,0)),""))</f>
        <v/>
      </c>
      <c r="L38" s="128" t="str">
        <f t="array" ref="L38">IFERROR(INDEX('Mr Sandeep Kumar'!L:L,MATCH($B38,'Mr Sandeep Kumar'!$B:$B,0)),IFERROR(INDEX('Mr Manu Vikraman'!L:L,MATCH($B38,'Mr Manu Vikraman'!$B:$B,0)),""))</f>
        <v/>
      </c>
      <c r="M38" s="128" t="str">
        <f t="array" ref="M38">IFERROR(INDEX('Mr Sandeep Kumar'!M:M,MATCH($B38,'Mr Sandeep Kumar'!$B:$B,0)),IFERROR(INDEX('Mr Manu Vikraman'!M:M,MATCH($B38,'Mr Manu Vikraman'!$B:$B,0)),""))</f>
        <v/>
      </c>
      <c r="N38" s="128" t="str">
        <f t="array" ref="N38">IFERROR(INDEX('Mr Sandeep Kumar'!N:N,MATCH($B38,'Mr Sandeep Kumar'!$B:$B,0)),IFERROR(INDEX('Mr Manu Vikraman'!N:N,MATCH($B38,'Mr Manu Vikraman'!$B:$B,0)),""))</f>
        <v/>
      </c>
      <c r="O38" s="128" t="str">
        <f t="array" ref="O38">IFERROR(INDEX('Mr Sandeep Kumar'!O:O,MATCH($B38,'Mr Sandeep Kumar'!$B:$B,0)),IFERROR(INDEX('Mr Manu Vikraman'!O:O,MATCH($B38,'Mr Manu Vikraman'!$B:$B,0)),""))</f>
        <v/>
      </c>
      <c r="P38" s="128" t="str">
        <f t="array" ref="P38">IFERROR(INDEX('Mr Sandeep Kumar'!P:P,MATCH($B38,'Mr Sandeep Kumar'!$B:$B,0)),IFERROR(INDEX('Mr Manu Vikraman'!P:P,MATCH($B38,'Mr Manu Vikraman'!$B:$B,0)),""))</f>
        <v/>
      </c>
      <c r="Q38" s="129">
        <f t="shared" si="1"/>
        <v>0</v>
      </c>
      <c r="R38" s="130">
        <f t="shared" si="2"/>
        <v>0</v>
      </c>
      <c r="S38" s="131" t="str">
        <f t="shared" si="3"/>
        <v>D</v>
      </c>
      <c r="T38" s="131" t="str">
        <f t="shared" si="4"/>
        <v>Not Started</v>
      </c>
      <c r="U38" s="132"/>
    </row>
    <row r="39" ht="21.75" customHeight="1">
      <c r="A39" s="125">
        <v>33.0</v>
      </c>
      <c r="B39" s="96" t="s">
        <v>271</v>
      </c>
      <c r="C39" s="97" t="s">
        <v>272</v>
      </c>
      <c r="D39" s="97" t="s">
        <v>273</v>
      </c>
      <c r="E39" s="126"/>
      <c r="F39" s="127"/>
      <c r="G39" s="128" t="str">
        <f t="array" ref="G39">IFERROR(INDEX('Mr Sandeep Kumar'!G:G,MATCH($B39,'Mr Sandeep Kumar'!$B:$B,0)),IFERROR(INDEX('Mr Manu Vikraman'!G:G,MATCH($B39,'Mr Manu Vikraman'!$B:$B,0)),""))</f>
        <v/>
      </c>
      <c r="H39" s="128" t="str">
        <f t="array" ref="H39">IFERROR(INDEX('Mr Sandeep Kumar'!H:H,MATCH($B39,'Mr Sandeep Kumar'!$B:$B,0)),IFERROR(INDEX('Mr Manu Vikraman'!H:H,MATCH($B39,'Mr Manu Vikraman'!$B:$B,0)),""))</f>
        <v/>
      </c>
      <c r="I39" s="128" t="str">
        <f t="array" ref="I39">IFERROR(INDEX('Mr Sandeep Kumar'!I:I,MATCH($B39,'Mr Sandeep Kumar'!$B:$B,0)),IFERROR(INDEX('Mr Manu Vikraman'!I:I,MATCH($B39,'Mr Manu Vikraman'!$B:$B,0)),""))</f>
        <v/>
      </c>
      <c r="J39" s="128" t="str">
        <f t="array" ref="J39">IFERROR(INDEX('Mr Sandeep Kumar'!J:J,MATCH($B39,'Mr Sandeep Kumar'!$B:$B,0)),IFERROR(INDEX('Mr Manu Vikraman'!J:J,MATCH($B39,'Mr Manu Vikraman'!$B:$B,0)),""))</f>
        <v/>
      </c>
      <c r="K39" s="128" t="str">
        <f t="array" ref="K39">IFERROR(INDEX('Mr Sandeep Kumar'!K:K,MATCH($B39,'Mr Sandeep Kumar'!$B:$B,0)),IFERROR(INDEX('Mr Manu Vikraman'!K:K,MATCH($B39,'Mr Manu Vikraman'!$B:$B,0)),""))</f>
        <v/>
      </c>
      <c r="L39" s="128" t="str">
        <f t="array" ref="L39">IFERROR(INDEX('Mr Sandeep Kumar'!L:L,MATCH($B39,'Mr Sandeep Kumar'!$B:$B,0)),IFERROR(INDEX('Mr Manu Vikraman'!L:L,MATCH($B39,'Mr Manu Vikraman'!$B:$B,0)),""))</f>
        <v/>
      </c>
      <c r="M39" s="128" t="str">
        <f t="array" ref="M39">IFERROR(INDEX('Mr Sandeep Kumar'!M:M,MATCH($B39,'Mr Sandeep Kumar'!$B:$B,0)),IFERROR(INDEX('Mr Manu Vikraman'!M:M,MATCH($B39,'Mr Manu Vikraman'!$B:$B,0)),""))</f>
        <v/>
      </c>
      <c r="N39" s="128" t="str">
        <f t="array" ref="N39">IFERROR(INDEX('Mr Sandeep Kumar'!N:N,MATCH($B39,'Mr Sandeep Kumar'!$B:$B,0)),IFERROR(INDEX('Mr Manu Vikraman'!N:N,MATCH($B39,'Mr Manu Vikraman'!$B:$B,0)),""))</f>
        <v/>
      </c>
      <c r="O39" s="128" t="str">
        <f t="array" ref="O39">IFERROR(INDEX('Mr Sandeep Kumar'!O:O,MATCH($B39,'Mr Sandeep Kumar'!$B:$B,0)),IFERROR(INDEX('Mr Manu Vikraman'!O:O,MATCH($B39,'Mr Manu Vikraman'!$B:$B,0)),""))</f>
        <v/>
      </c>
      <c r="P39" s="128" t="str">
        <f t="array" ref="P39">IFERROR(INDEX('Mr Sandeep Kumar'!P:P,MATCH($B39,'Mr Sandeep Kumar'!$B:$B,0)),IFERROR(INDEX('Mr Manu Vikraman'!P:P,MATCH($B39,'Mr Manu Vikraman'!$B:$B,0)),""))</f>
        <v/>
      </c>
      <c r="Q39" s="129">
        <f t="shared" si="1"/>
        <v>0</v>
      </c>
      <c r="R39" s="130">
        <f t="shared" si="2"/>
        <v>0</v>
      </c>
      <c r="S39" s="131" t="str">
        <f t="shared" si="3"/>
        <v>D</v>
      </c>
      <c r="T39" s="131" t="str">
        <f t="shared" si="4"/>
        <v>Not Started</v>
      </c>
      <c r="U39" s="132"/>
    </row>
    <row r="40" ht="21.75" customHeight="1">
      <c r="A40" s="125">
        <v>34.0</v>
      </c>
      <c r="B40" s="96" t="s">
        <v>274</v>
      </c>
      <c r="C40" s="97" t="s">
        <v>275</v>
      </c>
      <c r="D40" s="97" t="s">
        <v>276</v>
      </c>
      <c r="E40" s="126"/>
      <c r="F40" s="127"/>
      <c r="G40" s="128" t="str">
        <f t="array" ref="G40">IFERROR(INDEX('Mr Sandeep Kumar'!G:G,MATCH($B40,'Mr Sandeep Kumar'!$B:$B,0)),IFERROR(INDEX('Mr Manu Vikraman'!G:G,MATCH($B40,'Mr Manu Vikraman'!$B:$B,0)),""))</f>
        <v/>
      </c>
      <c r="H40" s="128" t="str">
        <f t="array" ref="H40">IFERROR(INDEX('Mr Sandeep Kumar'!H:H,MATCH($B40,'Mr Sandeep Kumar'!$B:$B,0)),IFERROR(INDEX('Mr Manu Vikraman'!H:H,MATCH($B40,'Mr Manu Vikraman'!$B:$B,0)),""))</f>
        <v/>
      </c>
      <c r="I40" s="128" t="str">
        <f t="array" ref="I40">IFERROR(INDEX('Mr Sandeep Kumar'!I:I,MATCH($B40,'Mr Sandeep Kumar'!$B:$B,0)),IFERROR(INDEX('Mr Manu Vikraman'!I:I,MATCH($B40,'Mr Manu Vikraman'!$B:$B,0)),""))</f>
        <v/>
      </c>
      <c r="J40" s="128" t="str">
        <f t="array" ref="J40">IFERROR(INDEX('Mr Sandeep Kumar'!J:J,MATCH($B40,'Mr Sandeep Kumar'!$B:$B,0)),IFERROR(INDEX('Mr Manu Vikraman'!J:J,MATCH($B40,'Mr Manu Vikraman'!$B:$B,0)),""))</f>
        <v/>
      </c>
      <c r="K40" s="128" t="str">
        <f t="array" ref="K40">IFERROR(INDEX('Mr Sandeep Kumar'!K:K,MATCH($B40,'Mr Sandeep Kumar'!$B:$B,0)),IFERROR(INDEX('Mr Manu Vikraman'!K:K,MATCH($B40,'Mr Manu Vikraman'!$B:$B,0)),""))</f>
        <v/>
      </c>
      <c r="L40" s="128" t="str">
        <f t="array" ref="L40">IFERROR(INDEX('Mr Sandeep Kumar'!L:L,MATCH($B40,'Mr Sandeep Kumar'!$B:$B,0)),IFERROR(INDEX('Mr Manu Vikraman'!L:L,MATCH($B40,'Mr Manu Vikraman'!$B:$B,0)),""))</f>
        <v/>
      </c>
      <c r="M40" s="128" t="str">
        <f t="array" ref="M40">IFERROR(INDEX('Mr Sandeep Kumar'!M:M,MATCH($B40,'Mr Sandeep Kumar'!$B:$B,0)),IFERROR(INDEX('Mr Manu Vikraman'!M:M,MATCH($B40,'Mr Manu Vikraman'!$B:$B,0)),""))</f>
        <v/>
      </c>
      <c r="N40" s="128" t="str">
        <f t="array" ref="N40">IFERROR(INDEX('Mr Sandeep Kumar'!N:N,MATCH($B40,'Mr Sandeep Kumar'!$B:$B,0)),IFERROR(INDEX('Mr Manu Vikraman'!N:N,MATCH($B40,'Mr Manu Vikraman'!$B:$B,0)),""))</f>
        <v/>
      </c>
      <c r="O40" s="128" t="str">
        <f t="array" ref="O40">IFERROR(INDEX('Mr Sandeep Kumar'!O:O,MATCH($B40,'Mr Sandeep Kumar'!$B:$B,0)),IFERROR(INDEX('Mr Manu Vikraman'!O:O,MATCH($B40,'Mr Manu Vikraman'!$B:$B,0)),""))</f>
        <v/>
      </c>
      <c r="P40" s="128" t="str">
        <f t="array" ref="P40">IFERROR(INDEX('Mr Sandeep Kumar'!P:P,MATCH($B40,'Mr Sandeep Kumar'!$B:$B,0)),IFERROR(INDEX('Mr Manu Vikraman'!P:P,MATCH($B40,'Mr Manu Vikraman'!$B:$B,0)),""))</f>
        <v/>
      </c>
      <c r="Q40" s="129">
        <f t="shared" si="1"/>
        <v>0</v>
      </c>
      <c r="R40" s="130">
        <f t="shared" si="2"/>
        <v>0</v>
      </c>
      <c r="S40" s="131" t="str">
        <f t="shared" si="3"/>
        <v>D</v>
      </c>
      <c r="T40" s="131" t="str">
        <f t="shared" si="4"/>
        <v>Not Started</v>
      </c>
      <c r="U40" s="132"/>
    </row>
    <row r="41" ht="21.75" customHeight="1">
      <c r="A41" s="125">
        <v>35.0</v>
      </c>
      <c r="B41" s="96" t="s">
        <v>277</v>
      </c>
      <c r="C41" s="97" t="s">
        <v>278</v>
      </c>
      <c r="D41" s="97" t="s">
        <v>279</v>
      </c>
      <c r="E41" s="126"/>
      <c r="F41" s="127"/>
      <c r="G41" s="128" t="str">
        <f t="array" ref="G41">IFERROR(INDEX('Mr Sandeep Kumar'!G:G,MATCH($B41,'Mr Sandeep Kumar'!$B:$B,0)),IFERROR(INDEX('Mr Manu Vikraman'!G:G,MATCH($B41,'Mr Manu Vikraman'!$B:$B,0)),""))</f>
        <v/>
      </c>
      <c r="H41" s="128" t="str">
        <f t="array" ref="H41">IFERROR(INDEX('Mr Sandeep Kumar'!H:H,MATCH($B41,'Mr Sandeep Kumar'!$B:$B,0)),IFERROR(INDEX('Mr Manu Vikraman'!H:H,MATCH($B41,'Mr Manu Vikraman'!$B:$B,0)),""))</f>
        <v/>
      </c>
      <c r="I41" s="128" t="str">
        <f t="array" ref="I41">IFERROR(INDEX('Mr Sandeep Kumar'!I:I,MATCH($B41,'Mr Sandeep Kumar'!$B:$B,0)),IFERROR(INDEX('Mr Manu Vikraman'!I:I,MATCH($B41,'Mr Manu Vikraman'!$B:$B,0)),""))</f>
        <v/>
      </c>
      <c r="J41" s="128" t="str">
        <f t="array" ref="J41">IFERROR(INDEX('Mr Sandeep Kumar'!J:J,MATCH($B41,'Mr Sandeep Kumar'!$B:$B,0)),IFERROR(INDEX('Mr Manu Vikraman'!J:J,MATCH($B41,'Mr Manu Vikraman'!$B:$B,0)),""))</f>
        <v/>
      </c>
      <c r="K41" s="128" t="str">
        <f t="array" ref="K41">IFERROR(INDEX('Mr Sandeep Kumar'!K:K,MATCH($B41,'Mr Sandeep Kumar'!$B:$B,0)),IFERROR(INDEX('Mr Manu Vikraman'!K:K,MATCH($B41,'Mr Manu Vikraman'!$B:$B,0)),""))</f>
        <v/>
      </c>
      <c r="L41" s="128" t="str">
        <f t="array" ref="L41">IFERROR(INDEX('Mr Sandeep Kumar'!L:L,MATCH($B41,'Mr Sandeep Kumar'!$B:$B,0)),IFERROR(INDEX('Mr Manu Vikraman'!L:L,MATCH($B41,'Mr Manu Vikraman'!$B:$B,0)),""))</f>
        <v/>
      </c>
      <c r="M41" s="128" t="str">
        <f t="array" ref="M41">IFERROR(INDEX('Mr Sandeep Kumar'!M:M,MATCH($B41,'Mr Sandeep Kumar'!$B:$B,0)),IFERROR(INDEX('Mr Manu Vikraman'!M:M,MATCH($B41,'Mr Manu Vikraman'!$B:$B,0)),""))</f>
        <v/>
      </c>
      <c r="N41" s="128" t="str">
        <f t="array" ref="N41">IFERROR(INDEX('Mr Sandeep Kumar'!N:N,MATCH($B41,'Mr Sandeep Kumar'!$B:$B,0)),IFERROR(INDEX('Mr Manu Vikraman'!N:N,MATCH($B41,'Mr Manu Vikraman'!$B:$B,0)),""))</f>
        <v/>
      </c>
      <c r="O41" s="128" t="str">
        <f t="array" ref="O41">IFERROR(INDEX('Mr Sandeep Kumar'!O:O,MATCH($B41,'Mr Sandeep Kumar'!$B:$B,0)),IFERROR(INDEX('Mr Manu Vikraman'!O:O,MATCH($B41,'Mr Manu Vikraman'!$B:$B,0)),""))</f>
        <v/>
      </c>
      <c r="P41" s="128" t="str">
        <f t="array" ref="P41">IFERROR(INDEX('Mr Sandeep Kumar'!P:P,MATCH($B41,'Mr Sandeep Kumar'!$B:$B,0)),IFERROR(INDEX('Mr Manu Vikraman'!P:P,MATCH($B41,'Mr Manu Vikraman'!$B:$B,0)),""))</f>
        <v/>
      </c>
      <c r="Q41" s="129">
        <f t="shared" si="1"/>
        <v>0</v>
      </c>
      <c r="R41" s="130">
        <f t="shared" si="2"/>
        <v>0</v>
      </c>
      <c r="S41" s="131" t="str">
        <f t="shared" si="3"/>
        <v>D</v>
      </c>
      <c r="T41" s="131" t="str">
        <f t="shared" si="4"/>
        <v>Not Started</v>
      </c>
      <c r="U41" s="132"/>
    </row>
    <row r="42" ht="21.75" customHeight="1">
      <c r="A42" s="125">
        <v>36.0</v>
      </c>
      <c r="B42" s="96" t="s">
        <v>280</v>
      </c>
      <c r="C42" s="97" t="s">
        <v>281</v>
      </c>
      <c r="D42" s="97" t="s">
        <v>282</v>
      </c>
      <c r="E42" s="126"/>
      <c r="F42" s="127"/>
      <c r="G42" s="128" t="str">
        <f t="array" ref="G42">IFERROR(INDEX('Mr Sandeep Kumar'!G:G,MATCH($B42,'Mr Sandeep Kumar'!$B:$B,0)),IFERROR(INDEX('Mr Manu Vikraman'!G:G,MATCH($B42,'Mr Manu Vikraman'!$B:$B,0)),""))</f>
        <v/>
      </c>
      <c r="H42" s="128" t="str">
        <f t="array" ref="H42">IFERROR(INDEX('Mr Sandeep Kumar'!H:H,MATCH($B42,'Mr Sandeep Kumar'!$B:$B,0)),IFERROR(INDEX('Mr Manu Vikraman'!H:H,MATCH($B42,'Mr Manu Vikraman'!$B:$B,0)),""))</f>
        <v/>
      </c>
      <c r="I42" s="128" t="str">
        <f t="array" ref="I42">IFERROR(INDEX('Mr Sandeep Kumar'!I:I,MATCH($B42,'Mr Sandeep Kumar'!$B:$B,0)),IFERROR(INDEX('Mr Manu Vikraman'!I:I,MATCH($B42,'Mr Manu Vikraman'!$B:$B,0)),""))</f>
        <v/>
      </c>
      <c r="J42" s="128" t="str">
        <f t="array" ref="J42">IFERROR(INDEX('Mr Sandeep Kumar'!J:J,MATCH($B42,'Mr Sandeep Kumar'!$B:$B,0)),IFERROR(INDEX('Mr Manu Vikraman'!J:J,MATCH($B42,'Mr Manu Vikraman'!$B:$B,0)),""))</f>
        <v/>
      </c>
      <c r="K42" s="128" t="str">
        <f t="array" ref="K42">IFERROR(INDEX('Mr Sandeep Kumar'!K:K,MATCH($B42,'Mr Sandeep Kumar'!$B:$B,0)),IFERROR(INDEX('Mr Manu Vikraman'!K:K,MATCH($B42,'Mr Manu Vikraman'!$B:$B,0)),""))</f>
        <v/>
      </c>
      <c r="L42" s="128" t="str">
        <f t="array" ref="L42">IFERROR(INDEX('Mr Sandeep Kumar'!L:L,MATCH($B42,'Mr Sandeep Kumar'!$B:$B,0)),IFERROR(INDEX('Mr Manu Vikraman'!L:L,MATCH($B42,'Mr Manu Vikraman'!$B:$B,0)),""))</f>
        <v/>
      </c>
      <c r="M42" s="128" t="str">
        <f t="array" ref="M42">IFERROR(INDEX('Mr Sandeep Kumar'!M:M,MATCH($B42,'Mr Sandeep Kumar'!$B:$B,0)),IFERROR(INDEX('Mr Manu Vikraman'!M:M,MATCH($B42,'Mr Manu Vikraman'!$B:$B,0)),""))</f>
        <v/>
      </c>
      <c r="N42" s="128" t="str">
        <f t="array" ref="N42">IFERROR(INDEX('Mr Sandeep Kumar'!N:N,MATCH($B42,'Mr Sandeep Kumar'!$B:$B,0)),IFERROR(INDEX('Mr Manu Vikraman'!N:N,MATCH($B42,'Mr Manu Vikraman'!$B:$B,0)),""))</f>
        <v/>
      </c>
      <c r="O42" s="128" t="str">
        <f t="array" ref="O42">IFERROR(INDEX('Mr Sandeep Kumar'!O:O,MATCH($B42,'Mr Sandeep Kumar'!$B:$B,0)),IFERROR(INDEX('Mr Manu Vikraman'!O:O,MATCH($B42,'Mr Manu Vikraman'!$B:$B,0)),""))</f>
        <v/>
      </c>
      <c r="P42" s="128" t="str">
        <f t="array" ref="P42">IFERROR(INDEX('Mr Sandeep Kumar'!P:P,MATCH($B42,'Mr Sandeep Kumar'!$B:$B,0)),IFERROR(INDEX('Mr Manu Vikraman'!P:P,MATCH($B42,'Mr Manu Vikraman'!$B:$B,0)),""))</f>
        <v/>
      </c>
      <c r="Q42" s="129">
        <f t="shared" si="1"/>
        <v>0</v>
      </c>
      <c r="R42" s="130">
        <f t="shared" si="2"/>
        <v>0</v>
      </c>
      <c r="S42" s="131" t="str">
        <f t="shared" si="3"/>
        <v>D</v>
      </c>
      <c r="T42" s="131" t="str">
        <f t="shared" si="4"/>
        <v>Not Started</v>
      </c>
      <c r="U42" s="132"/>
    </row>
    <row r="43" ht="21.75" customHeight="1">
      <c r="A43" s="125">
        <v>37.0</v>
      </c>
      <c r="B43" s="96" t="s">
        <v>283</v>
      </c>
      <c r="C43" s="97" t="s">
        <v>284</v>
      </c>
      <c r="D43" s="97" t="s">
        <v>285</v>
      </c>
      <c r="E43" s="126"/>
      <c r="F43" s="127"/>
      <c r="G43" s="128" t="str">
        <f t="array" ref="G43">IFERROR(INDEX('Mr Sandeep Kumar'!G:G,MATCH($B43,'Mr Sandeep Kumar'!$B:$B,0)),IFERROR(INDEX('Mr Manu Vikraman'!G:G,MATCH($B43,'Mr Manu Vikraman'!$B:$B,0)),""))</f>
        <v/>
      </c>
      <c r="H43" s="128" t="str">
        <f t="array" ref="H43">IFERROR(INDEX('Mr Sandeep Kumar'!H:H,MATCH($B43,'Mr Sandeep Kumar'!$B:$B,0)),IFERROR(INDEX('Mr Manu Vikraman'!H:H,MATCH($B43,'Mr Manu Vikraman'!$B:$B,0)),""))</f>
        <v/>
      </c>
      <c r="I43" s="128" t="str">
        <f t="array" ref="I43">IFERROR(INDEX('Mr Sandeep Kumar'!I:I,MATCH($B43,'Mr Sandeep Kumar'!$B:$B,0)),IFERROR(INDEX('Mr Manu Vikraman'!I:I,MATCH($B43,'Mr Manu Vikraman'!$B:$B,0)),""))</f>
        <v/>
      </c>
      <c r="J43" s="128" t="str">
        <f t="array" ref="J43">IFERROR(INDEX('Mr Sandeep Kumar'!J:J,MATCH($B43,'Mr Sandeep Kumar'!$B:$B,0)),IFERROR(INDEX('Mr Manu Vikraman'!J:J,MATCH($B43,'Mr Manu Vikraman'!$B:$B,0)),""))</f>
        <v/>
      </c>
      <c r="K43" s="128" t="str">
        <f t="array" ref="K43">IFERROR(INDEX('Mr Sandeep Kumar'!K:K,MATCH($B43,'Mr Sandeep Kumar'!$B:$B,0)),IFERROR(INDEX('Mr Manu Vikraman'!K:K,MATCH($B43,'Mr Manu Vikraman'!$B:$B,0)),""))</f>
        <v/>
      </c>
      <c r="L43" s="128" t="str">
        <f t="array" ref="L43">IFERROR(INDEX('Mr Sandeep Kumar'!L:L,MATCH($B43,'Mr Sandeep Kumar'!$B:$B,0)),IFERROR(INDEX('Mr Manu Vikraman'!L:L,MATCH($B43,'Mr Manu Vikraman'!$B:$B,0)),""))</f>
        <v/>
      </c>
      <c r="M43" s="128" t="str">
        <f t="array" ref="M43">IFERROR(INDEX('Mr Sandeep Kumar'!M:M,MATCH($B43,'Mr Sandeep Kumar'!$B:$B,0)),IFERROR(INDEX('Mr Manu Vikraman'!M:M,MATCH($B43,'Mr Manu Vikraman'!$B:$B,0)),""))</f>
        <v/>
      </c>
      <c r="N43" s="128" t="str">
        <f t="array" ref="N43">IFERROR(INDEX('Mr Sandeep Kumar'!N:N,MATCH($B43,'Mr Sandeep Kumar'!$B:$B,0)),IFERROR(INDEX('Mr Manu Vikraman'!N:N,MATCH($B43,'Mr Manu Vikraman'!$B:$B,0)),""))</f>
        <v/>
      </c>
      <c r="O43" s="128" t="str">
        <f t="array" ref="O43">IFERROR(INDEX('Mr Sandeep Kumar'!O:O,MATCH($B43,'Mr Sandeep Kumar'!$B:$B,0)),IFERROR(INDEX('Mr Manu Vikraman'!O:O,MATCH($B43,'Mr Manu Vikraman'!$B:$B,0)),""))</f>
        <v/>
      </c>
      <c r="P43" s="128" t="str">
        <f t="array" ref="P43">IFERROR(INDEX('Mr Sandeep Kumar'!P:P,MATCH($B43,'Mr Sandeep Kumar'!$B:$B,0)),IFERROR(INDEX('Mr Manu Vikraman'!P:P,MATCH($B43,'Mr Manu Vikraman'!$B:$B,0)),""))</f>
        <v/>
      </c>
      <c r="Q43" s="129">
        <f t="shared" si="1"/>
        <v>0</v>
      </c>
      <c r="R43" s="130">
        <f t="shared" si="2"/>
        <v>0</v>
      </c>
      <c r="S43" s="131" t="str">
        <f t="shared" si="3"/>
        <v>D</v>
      </c>
      <c r="T43" s="131" t="str">
        <f t="shared" si="4"/>
        <v>Not Started</v>
      </c>
      <c r="U43" s="132"/>
    </row>
    <row r="44" ht="21.75" customHeight="1">
      <c r="A44" s="125">
        <v>38.0</v>
      </c>
      <c r="B44" s="96" t="s">
        <v>286</v>
      </c>
      <c r="C44" s="97" t="s">
        <v>287</v>
      </c>
      <c r="D44" s="97" t="s">
        <v>285</v>
      </c>
      <c r="E44" s="126"/>
      <c r="F44" s="127"/>
      <c r="G44" s="128" t="str">
        <f t="array" ref="G44">IFERROR(INDEX('Mr Sandeep Kumar'!G:G,MATCH($B44,'Mr Sandeep Kumar'!$B:$B,0)),IFERROR(INDEX('Mr Manu Vikraman'!G:G,MATCH($B44,'Mr Manu Vikraman'!$B:$B,0)),""))</f>
        <v/>
      </c>
      <c r="H44" s="128" t="str">
        <f t="array" ref="H44">IFERROR(INDEX('Mr Sandeep Kumar'!H:H,MATCH($B44,'Mr Sandeep Kumar'!$B:$B,0)),IFERROR(INDEX('Mr Manu Vikraman'!H:H,MATCH($B44,'Mr Manu Vikraman'!$B:$B,0)),""))</f>
        <v/>
      </c>
      <c r="I44" s="128" t="str">
        <f t="array" ref="I44">IFERROR(INDEX('Mr Sandeep Kumar'!I:I,MATCH($B44,'Mr Sandeep Kumar'!$B:$B,0)),IFERROR(INDEX('Mr Manu Vikraman'!I:I,MATCH($B44,'Mr Manu Vikraman'!$B:$B,0)),""))</f>
        <v/>
      </c>
      <c r="J44" s="128" t="str">
        <f t="array" ref="J44">IFERROR(INDEX('Mr Sandeep Kumar'!J:J,MATCH($B44,'Mr Sandeep Kumar'!$B:$B,0)),IFERROR(INDEX('Mr Manu Vikraman'!J:J,MATCH($B44,'Mr Manu Vikraman'!$B:$B,0)),""))</f>
        <v/>
      </c>
      <c r="K44" s="128" t="str">
        <f t="array" ref="K44">IFERROR(INDEX('Mr Sandeep Kumar'!K:K,MATCH($B44,'Mr Sandeep Kumar'!$B:$B,0)),IFERROR(INDEX('Mr Manu Vikraman'!K:K,MATCH($B44,'Mr Manu Vikraman'!$B:$B,0)),""))</f>
        <v/>
      </c>
      <c r="L44" s="128" t="str">
        <f t="array" ref="L44">IFERROR(INDEX('Mr Sandeep Kumar'!L:L,MATCH($B44,'Mr Sandeep Kumar'!$B:$B,0)),IFERROR(INDEX('Mr Manu Vikraman'!L:L,MATCH($B44,'Mr Manu Vikraman'!$B:$B,0)),""))</f>
        <v/>
      </c>
      <c r="M44" s="128" t="str">
        <f t="array" ref="M44">IFERROR(INDEX('Mr Sandeep Kumar'!M:M,MATCH($B44,'Mr Sandeep Kumar'!$B:$B,0)),IFERROR(INDEX('Mr Manu Vikraman'!M:M,MATCH($B44,'Mr Manu Vikraman'!$B:$B,0)),""))</f>
        <v/>
      </c>
      <c r="N44" s="128" t="str">
        <f t="array" ref="N44">IFERROR(INDEX('Mr Sandeep Kumar'!N:N,MATCH($B44,'Mr Sandeep Kumar'!$B:$B,0)),IFERROR(INDEX('Mr Manu Vikraman'!N:N,MATCH($B44,'Mr Manu Vikraman'!$B:$B,0)),""))</f>
        <v/>
      </c>
      <c r="O44" s="128" t="str">
        <f t="array" ref="O44">IFERROR(INDEX('Mr Sandeep Kumar'!O:O,MATCH($B44,'Mr Sandeep Kumar'!$B:$B,0)),IFERROR(INDEX('Mr Manu Vikraman'!O:O,MATCH($B44,'Mr Manu Vikraman'!$B:$B,0)),""))</f>
        <v/>
      </c>
      <c r="P44" s="128" t="str">
        <f t="array" ref="P44">IFERROR(INDEX('Mr Sandeep Kumar'!P:P,MATCH($B44,'Mr Sandeep Kumar'!$B:$B,0)),IFERROR(INDEX('Mr Manu Vikraman'!P:P,MATCH($B44,'Mr Manu Vikraman'!$B:$B,0)),""))</f>
        <v/>
      </c>
      <c r="Q44" s="129">
        <f t="shared" si="1"/>
        <v>0</v>
      </c>
      <c r="R44" s="130">
        <f t="shared" si="2"/>
        <v>0</v>
      </c>
      <c r="S44" s="131" t="str">
        <f t="shared" si="3"/>
        <v>D</v>
      </c>
      <c r="T44" s="131" t="str">
        <f t="shared" si="4"/>
        <v>Not Started</v>
      </c>
      <c r="U44" s="132"/>
    </row>
    <row r="45" ht="21.75" customHeight="1">
      <c r="A45" s="125">
        <v>39.0</v>
      </c>
      <c r="B45" s="96" t="s">
        <v>288</v>
      </c>
      <c r="C45" s="97" t="s">
        <v>289</v>
      </c>
      <c r="D45" s="97" t="s">
        <v>290</v>
      </c>
      <c r="E45" s="126"/>
      <c r="F45" s="127"/>
      <c r="G45" s="128" t="str">
        <f t="array" ref="G45">IFERROR(INDEX('Mr Sandeep Kumar'!G:G,MATCH($B45,'Mr Sandeep Kumar'!$B:$B,0)),IFERROR(INDEX('Mr Manu Vikraman'!G:G,MATCH($B45,'Mr Manu Vikraman'!$B:$B,0)),""))</f>
        <v/>
      </c>
      <c r="H45" s="128" t="str">
        <f t="array" ref="H45">IFERROR(INDEX('Mr Sandeep Kumar'!H:H,MATCH($B45,'Mr Sandeep Kumar'!$B:$B,0)),IFERROR(INDEX('Mr Manu Vikraman'!H:H,MATCH($B45,'Mr Manu Vikraman'!$B:$B,0)),""))</f>
        <v/>
      </c>
      <c r="I45" s="128" t="str">
        <f t="array" ref="I45">IFERROR(INDEX('Mr Sandeep Kumar'!I:I,MATCH($B45,'Mr Sandeep Kumar'!$B:$B,0)),IFERROR(INDEX('Mr Manu Vikraman'!I:I,MATCH($B45,'Mr Manu Vikraman'!$B:$B,0)),""))</f>
        <v/>
      </c>
      <c r="J45" s="128" t="str">
        <f t="array" ref="J45">IFERROR(INDEX('Mr Sandeep Kumar'!J:J,MATCH($B45,'Mr Sandeep Kumar'!$B:$B,0)),IFERROR(INDEX('Mr Manu Vikraman'!J:J,MATCH($B45,'Mr Manu Vikraman'!$B:$B,0)),""))</f>
        <v/>
      </c>
      <c r="K45" s="128" t="str">
        <f t="array" ref="K45">IFERROR(INDEX('Mr Sandeep Kumar'!K:K,MATCH($B45,'Mr Sandeep Kumar'!$B:$B,0)),IFERROR(INDEX('Mr Manu Vikraman'!K:K,MATCH($B45,'Mr Manu Vikraman'!$B:$B,0)),""))</f>
        <v/>
      </c>
      <c r="L45" s="128" t="str">
        <f t="array" ref="L45">IFERROR(INDEX('Mr Sandeep Kumar'!L:L,MATCH($B45,'Mr Sandeep Kumar'!$B:$B,0)),IFERROR(INDEX('Mr Manu Vikraman'!L:L,MATCH($B45,'Mr Manu Vikraman'!$B:$B,0)),""))</f>
        <v/>
      </c>
      <c r="M45" s="128" t="str">
        <f t="array" ref="M45">IFERROR(INDEX('Mr Sandeep Kumar'!M:M,MATCH($B45,'Mr Sandeep Kumar'!$B:$B,0)),IFERROR(INDEX('Mr Manu Vikraman'!M:M,MATCH($B45,'Mr Manu Vikraman'!$B:$B,0)),""))</f>
        <v/>
      </c>
      <c r="N45" s="128" t="str">
        <f t="array" ref="N45">IFERROR(INDEX('Mr Sandeep Kumar'!N:N,MATCH($B45,'Mr Sandeep Kumar'!$B:$B,0)),IFERROR(INDEX('Mr Manu Vikraman'!N:N,MATCH($B45,'Mr Manu Vikraman'!$B:$B,0)),""))</f>
        <v/>
      </c>
      <c r="O45" s="128" t="str">
        <f t="array" ref="O45">IFERROR(INDEX('Mr Sandeep Kumar'!O:O,MATCH($B45,'Mr Sandeep Kumar'!$B:$B,0)),IFERROR(INDEX('Mr Manu Vikraman'!O:O,MATCH($B45,'Mr Manu Vikraman'!$B:$B,0)),""))</f>
        <v/>
      </c>
      <c r="P45" s="128" t="str">
        <f t="array" ref="P45">IFERROR(INDEX('Mr Sandeep Kumar'!P:P,MATCH($B45,'Mr Sandeep Kumar'!$B:$B,0)),IFERROR(INDEX('Mr Manu Vikraman'!P:P,MATCH($B45,'Mr Manu Vikraman'!$B:$B,0)),""))</f>
        <v/>
      </c>
      <c r="Q45" s="129">
        <f t="shared" si="1"/>
        <v>0</v>
      </c>
      <c r="R45" s="130">
        <f t="shared" si="2"/>
        <v>0</v>
      </c>
      <c r="S45" s="131" t="str">
        <f t="shared" si="3"/>
        <v>D</v>
      </c>
      <c r="T45" s="131" t="str">
        <f t="shared" si="4"/>
        <v>Not Started</v>
      </c>
      <c r="U45" s="132"/>
    </row>
    <row r="46" ht="21.75" customHeight="1">
      <c r="A46" s="125">
        <v>40.0</v>
      </c>
      <c r="B46" s="96" t="s">
        <v>291</v>
      </c>
      <c r="C46" s="97" t="s">
        <v>292</v>
      </c>
      <c r="D46" s="97" t="s">
        <v>293</v>
      </c>
      <c r="E46" s="126"/>
      <c r="F46" s="127"/>
      <c r="G46" s="128" t="str">
        <f t="array" ref="G46">IFERROR(INDEX('Mr Sandeep Kumar'!G:G,MATCH($B46,'Mr Sandeep Kumar'!$B:$B,0)),IFERROR(INDEX('Mr Manu Vikraman'!G:G,MATCH($B46,'Mr Manu Vikraman'!$B:$B,0)),""))</f>
        <v/>
      </c>
      <c r="H46" s="128" t="str">
        <f t="array" ref="H46">IFERROR(INDEX('Mr Sandeep Kumar'!H:H,MATCH($B46,'Mr Sandeep Kumar'!$B:$B,0)),IFERROR(INDEX('Mr Manu Vikraman'!H:H,MATCH($B46,'Mr Manu Vikraman'!$B:$B,0)),""))</f>
        <v/>
      </c>
      <c r="I46" s="128" t="str">
        <f t="array" ref="I46">IFERROR(INDEX('Mr Sandeep Kumar'!I:I,MATCH($B46,'Mr Sandeep Kumar'!$B:$B,0)),IFERROR(INDEX('Mr Manu Vikraman'!I:I,MATCH($B46,'Mr Manu Vikraman'!$B:$B,0)),""))</f>
        <v/>
      </c>
      <c r="J46" s="128" t="str">
        <f t="array" ref="J46">IFERROR(INDEX('Mr Sandeep Kumar'!J:J,MATCH($B46,'Mr Sandeep Kumar'!$B:$B,0)),IFERROR(INDEX('Mr Manu Vikraman'!J:J,MATCH($B46,'Mr Manu Vikraman'!$B:$B,0)),""))</f>
        <v/>
      </c>
      <c r="K46" s="128" t="str">
        <f t="array" ref="K46">IFERROR(INDEX('Mr Sandeep Kumar'!K:K,MATCH($B46,'Mr Sandeep Kumar'!$B:$B,0)),IFERROR(INDEX('Mr Manu Vikraman'!K:K,MATCH($B46,'Mr Manu Vikraman'!$B:$B,0)),""))</f>
        <v/>
      </c>
      <c r="L46" s="128" t="str">
        <f t="array" ref="L46">IFERROR(INDEX('Mr Sandeep Kumar'!L:L,MATCH($B46,'Mr Sandeep Kumar'!$B:$B,0)),IFERROR(INDEX('Mr Manu Vikraman'!L:L,MATCH($B46,'Mr Manu Vikraman'!$B:$B,0)),""))</f>
        <v/>
      </c>
      <c r="M46" s="128" t="str">
        <f t="array" ref="M46">IFERROR(INDEX('Mr Sandeep Kumar'!M:M,MATCH($B46,'Mr Sandeep Kumar'!$B:$B,0)),IFERROR(INDEX('Mr Manu Vikraman'!M:M,MATCH($B46,'Mr Manu Vikraman'!$B:$B,0)),""))</f>
        <v/>
      </c>
      <c r="N46" s="128" t="str">
        <f t="array" ref="N46">IFERROR(INDEX('Mr Sandeep Kumar'!N:N,MATCH($B46,'Mr Sandeep Kumar'!$B:$B,0)),IFERROR(INDEX('Mr Manu Vikraman'!N:N,MATCH($B46,'Mr Manu Vikraman'!$B:$B,0)),""))</f>
        <v/>
      </c>
      <c r="O46" s="128" t="str">
        <f t="array" ref="O46">IFERROR(INDEX('Mr Sandeep Kumar'!O:O,MATCH($B46,'Mr Sandeep Kumar'!$B:$B,0)),IFERROR(INDEX('Mr Manu Vikraman'!O:O,MATCH($B46,'Mr Manu Vikraman'!$B:$B,0)),""))</f>
        <v/>
      </c>
      <c r="P46" s="128" t="str">
        <f t="array" ref="P46">IFERROR(INDEX('Mr Sandeep Kumar'!P:P,MATCH($B46,'Mr Sandeep Kumar'!$B:$B,0)),IFERROR(INDEX('Mr Manu Vikraman'!P:P,MATCH($B46,'Mr Manu Vikraman'!$B:$B,0)),""))</f>
        <v/>
      </c>
      <c r="Q46" s="129">
        <f t="shared" si="1"/>
        <v>0</v>
      </c>
      <c r="R46" s="130">
        <f t="shared" si="2"/>
        <v>0</v>
      </c>
      <c r="S46" s="131" t="str">
        <f t="shared" si="3"/>
        <v>D</v>
      </c>
      <c r="T46" s="131" t="str">
        <f t="shared" si="4"/>
        <v>Not Started</v>
      </c>
      <c r="U46" s="132"/>
    </row>
    <row r="47" ht="21.75" customHeight="1">
      <c r="A47" s="125">
        <v>41.0</v>
      </c>
      <c r="B47" s="96" t="s">
        <v>294</v>
      </c>
      <c r="C47" s="97" t="s">
        <v>295</v>
      </c>
      <c r="D47" s="97" t="s">
        <v>296</v>
      </c>
      <c r="E47" s="126"/>
      <c r="F47" s="127"/>
      <c r="G47" s="128" t="str">
        <f t="array" ref="G47">IFERROR(INDEX('Mr Sandeep Kumar'!G:G,MATCH($B47,'Mr Sandeep Kumar'!$B:$B,0)),IFERROR(INDEX('Mr Manu Vikraman'!G:G,MATCH($B47,'Mr Manu Vikraman'!$B:$B,0)),""))</f>
        <v/>
      </c>
      <c r="H47" s="128" t="str">
        <f t="array" ref="H47">IFERROR(INDEX('Mr Sandeep Kumar'!H:H,MATCH($B47,'Mr Sandeep Kumar'!$B:$B,0)),IFERROR(INDEX('Mr Manu Vikraman'!H:H,MATCH($B47,'Mr Manu Vikraman'!$B:$B,0)),""))</f>
        <v/>
      </c>
      <c r="I47" s="128" t="str">
        <f t="array" ref="I47">IFERROR(INDEX('Mr Sandeep Kumar'!I:I,MATCH($B47,'Mr Sandeep Kumar'!$B:$B,0)),IFERROR(INDEX('Mr Manu Vikraman'!I:I,MATCH($B47,'Mr Manu Vikraman'!$B:$B,0)),""))</f>
        <v/>
      </c>
      <c r="J47" s="128" t="str">
        <f t="array" ref="J47">IFERROR(INDEX('Mr Sandeep Kumar'!J:J,MATCH($B47,'Mr Sandeep Kumar'!$B:$B,0)),IFERROR(INDEX('Mr Manu Vikraman'!J:J,MATCH($B47,'Mr Manu Vikraman'!$B:$B,0)),""))</f>
        <v/>
      </c>
      <c r="K47" s="128" t="str">
        <f t="array" ref="K47">IFERROR(INDEX('Mr Sandeep Kumar'!K:K,MATCH($B47,'Mr Sandeep Kumar'!$B:$B,0)),IFERROR(INDEX('Mr Manu Vikraman'!K:K,MATCH($B47,'Mr Manu Vikraman'!$B:$B,0)),""))</f>
        <v/>
      </c>
      <c r="L47" s="128" t="str">
        <f t="array" ref="L47">IFERROR(INDEX('Mr Sandeep Kumar'!L:L,MATCH($B47,'Mr Sandeep Kumar'!$B:$B,0)),IFERROR(INDEX('Mr Manu Vikraman'!L:L,MATCH($B47,'Mr Manu Vikraman'!$B:$B,0)),""))</f>
        <v/>
      </c>
      <c r="M47" s="128" t="str">
        <f t="array" ref="M47">IFERROR(INDEX('Mr Sandeep Kumar'!M:M,MATCH($B47,'Mr Sandeep Kumar'!$B:$B,0)),IFERROR(INDEX('Mr Manu Vikraman'!M:M,MATCH($B47,'Mr Manu Vikraman'!$B:$B,0)),""))</f>
        <v/>
      </c>
      <c r="N47" s="128" t="str">
        <f t="array" ref="N47">IFERROR(INDEX('Mr Sandeep Kumar'!N:N,MATCH($B47,'Mr Sandeep Kumar'!$B:$B,0)),IFERROR(INDEX('Mr Manu Vikraman'!N:N,MATCH($B47,'Mr Manu Vikraman'!$B:$B,0)),""))</f>
        <v/>
      </c>
      <c r="O47" s="128" t="str">
        <f t="array" ref="O47">IFERROR(INDEX('Mr Sandeep Kumar'!O:O,MATCH($B47,'Mr Sandeep Kumar'!$B:$B,0)),IFERROR(INDEX('Mr Manu Vikraman'!O:O,MATCH($B47,'Mr Manu Vikraman'!$B:$B,0)),""))</f>
        <v/>
      </c>
      <c r="P47" s="128" t="str">
        <f t="array" ref="P47">IFERROR(INDEX('Mr Sandeep Kumar'!P:P,MATCH($B47,'Mr Sandeep Kumar'!$B:$B,0)),IFERROR(INDEX('Mr Manu Vikraman'!P:P,MATCH($B47,'Mr Manu Vikraman'!$B:$B,0)),""))</f>
        <v/>
      </c>
      <c r="Q47" s="129">
        <f t="shared" si="1"/>
        <v>0</v>
      </c>
      <c r="R47" s="130">
        <f t="shared" si="2"/>
        <v>0</v>
      </c>
      <c r="S47" s="131" t="str">
        <f t="shared" si="3"/>
        <v>D</v>
      </c>
      <c r="T47" s="131" t="str">
        <f t="shared" si="4"/>
        <v>Not Started</v>
      </c>
      <c r="U47" s="132"/>
    </row>
    <row r="48" ht="21.75" customHeight="1">
      <c r="A48" s="125">
        <v>42.0</v>
      </c>
      <c r="B48" s="96" t="s">
        <v>298</v>
      </c>
      <c r="C48" s="97" t="s">
        <v>299</v>
      </c>
      <c r="D48" s="97" t="s">
        <v>183</v>
      </c>
      <c r="E48" s="126"/>
      <c r="F48" s="127"/>
      <c r="G48" s="128" t="str">
        <f t="array" ref="G48">IFERROR(INDEX('Mr Sandeep Kumar'!G:G,MATCH($B48,'Mr Sandeep Kumar'!$B:$B,0)),IFERROR(INDEX('Mr Manu Vikraman'!G:G,MATCH($B48,'Mr Manu Vikraman'!$B:$B,0)),""))</f>
        <v/>
      </c>
      <c r="H48" s="128" t="str">
        <f t="array" ref="H48">IFERROR(INDEX('Mr Sandeep Kumar'!H:H,MATCH($B48,'Mr Sandeep Kumar'!$B:$B,0)),IFERROR(INDEX('Mr Manu Vikraman'!H:H,MATCH($B48,'Mr Manu Vikraman'!$B:$B,0)),""))</f>
        <v/>
      </c>
      <c r="I48" s="128" t="str">
        <f t="array" ref="I48">IFERROR(INDEX('Mr Sandeep Kumar'!I:I,MATCH($B48,'Mr Sandeep Kumar'!$B:$B,0)),IFERROR(INDEX('Mr Manu Vikraman'!I:I,MATCH($B48,'Mr Manu Vikraman'!$B:$B,0)),""))</f>
        <v/>
      </c>
      <c r="J48" s="128" t="str">
        <f t="array" ref="J48">IFERROR(INDEX('Mr Sandeep Kumar'!J:J,MATCH($B48,'Mr Sandeep Kumar'!$B:$B,0)),IFERROR(INDEX('Mr Manu Vikraman'!J:J,MATCH($B48,'Mr Manu Vikraman'!$B:$B,0)),""))</f>
        <v/>
      </c>
      <c r="K48" s="128" t="str">
        <f t="array" ref="K48">IFERROR(INDEX('Mr Sandeep Kumar'!K:K,MATCH($B48,'Mr Sandeep Kumar'!$B:$B,0)),IFERROR(INDEX('Mr Manu Vikraman'!K:K,MATCH($B48,'Mr Manu Vikraman'!$B:$B,0)),""))</f>
        <v/>
      </c>
      <c r="L48" s="128" t="str">
        <f t="array" ref="L48">IFERROR(INDEX('Mr Sandeep Kumar'!L:L,MATCH($B48,'Mr Sandeep Kumar'!$B:$B,0)),IFERROR(INDEX('Mr Manu Vikraman'!L:L,MATCH($B48,'Mr Manu Vikraman'!$B:$B,0)),""))</f>
        <v/>
      </c>
      <c r="M48" s="128" t="str">
        <f t="array" ref="M48">IFERROR(INDEX('Mr Sandeep Kumar'!M:M,MATCH($B48,'Mr Sandeep Kumar'!$B:$B,0)),IFERROR(INDEX('Mr Manu Vikraman'!M:M,MATCH($B48,'Mr Manu Vikraman'!$B:$B,0)),""))</f>
        <v/>
      </c>
      <c r="N48" s="128" t="str">
        <f t="array" ref="N48">IFERROR(INDEX('Mr Sandeep Kumar'!N:N,MATCH($B48,'Mr Sandeep Kumar'!$B:$B,0)),IFERROR(INDEX('Mr Manu Vikraman'!N:N,MATCH($B48,'Mr Manu Vikraman'!$B:$B,0)),""))</f>
        <v/>
      </c>
      <c r="O48" s="128" t="str">
        <f t="array" ref="O48">IFERROR(INDEX('Mr Sandeep Kumar'!O:O,MATCH($B48,'Mr Sandeep Kumar'!$B:$B,0)),IFERROR(INDEX('Mr Manu Vikraman'!O:O,MATCH($B48,'Mr Manu Vikraman'!$B:$B,0)),""))</f>
        <v/>
      </c>
      <c r="P48" s="128" t="str">
        <f t="array" ref="P48">IFERROR(INDEX('Mr Sandeep Kumar'!P:P,MATCH($B48,'Mr Sandeep Kumar'!$B:$B,0)),IFERROR(INDEX('Mr Manu Vikraman'!P:P,MATCH($B48,'Mr Manu Vikraman'!$B:$B,0)),""))</f>
        <v/>
      </c>
      <c r="Q48" s="129">
        <f t="shared" si="1"/>
        <v>0</v>
      </c>
      <c r="R48" s="130">
        <f t="shared" si="2"/>
        <v>0</v>
      </c>
      <c r="S48" s="131" t="str">
        <f t="shared" si="3"/>
        <v>D</v>
      </c>
      <c r="T48" s="131" t="str">
        <f t="shared" si="4"/>
        <v>Not Started</v>
      </c>
      <c r="U48" s="132"/>
    </row>
    <row r="49" ht="21.75" customHeight="1">
      <c r="A49" s="125">
        <v>43.0</v>
      </c>
      <c r="B49" s="96" t="s">
        <v>300</v>
      </c>
      <c r="C49" s="97" t="s">
        <v>301</v>
      </c>
      <c r="D49" s="97" t="s">
        <v>302</v>
      </c>
      <c r="E49" s="126"/>
      <c r="F49" s="127"/>
      <c r="G49" s="128" t="str">
        <f t="array" ref="G49">IFERROR(INDEX('Mr Sandeep Kumar'!G:G,MATCH($B49,'Mr Sandeep Kumar'!$B:$B,0)),IFERROR(INDEX('Mr Manu Vikraman'!G:G,MATCH($B49,'Mr Manu Vikraman'!$B:$B,0)),""))</f>
        <v/>
      </c>
      <c r="H49" s="128" t="str">
        <f t="array" ref="H49">IFERROR(INDEX('Mr Sandeep Kumar'!H:H,MATCH($B49,'Mr Sandeep Kumar'!$B:$B,0)),IFERROR(INDEX('Mr Manu Vikraman'!H:H,MATCH($B49,'Mr Manu Vikraman'!$B:$B,0)),""))</f>
        <v/>
      </c>
      <c r="I49" s="128" t="str">
        <f t="array" ref="I49">IFERROR(INDEX('Mr Sandeep Kumar'!I:I,MATCH($B49,'Mr Sandeep Kumar'!$B:$B,0)),IFERROR(INDEX('Mr Manu Vikraman'!I:I,MATCH($B49,'Mr Manu Vikraman'!$B:$B,0)),""))</f>
        <v/>
      </c>
      <c r="J49" s="128" t="str">
        <f t="array" ref="J49">IFERROR(INDEX('Mr Sandeep Kumar'!J:J,MATCH($B49,'Mr Sandeep Kumar'!$B:$B,0)),IFERROR(INDEX('Mr Manu Vikraman'!J:J,MATCH($B49,'Mr Manu Vikraman'!$B:$B,0)),""))</f>
        <v/>
      </c>
      <c r="K49" s="128" t="str">
        <f t="array" ref="K49">IFERROR(INDEX('Mr Sandeep Kumar'!K:K,MATCH($B49,'Mr Sandeep Kumar'!$B:$B,0)),IFERROR(INDEX('Mr Manu Vikraman'!K:K,MATCH($B49,'Mr Manu Vikraman'!$B:$B,0)),""))</f>
        <v/>
      </c>
      <c r="L49" s="128" t="str">
        <f t="array" ref="L49">IFERROR(INDEX('Mr Sandeep Kumar'!L:L,MATCH($B49,'Mr Sandeep Kumar'!$B:$B,0)),IFERROR(INDEX('Mr Manu Vikraman'!L:L,MATCH($B49,'Mr Manu Vikraman'!$B:$B,0)),""))</f>
        <v/>
      </c>
      <c r="M49" s="128" t="str">
        <f t="array" ref="M49">IFERROR(INDEX('Mr Sandeep Kumar'!M:M,MATCH($B49,'Mr Sandeep Kumar'!$B:$B,0)),IFERROR(INDEX('Mr Manu Vikraman'!M:M,MATCH($B49,'Mr Manu Vikraman'!$B:$B,0)),""))</f>
        <v/>
      </c>
      <c r="N49" s="128" t="str">
        <f t="array" ref="N49">IFERROR(INDEX('Mr Sandeep Kumar'!N:N,MATCH($B49,'Mr Sandeep Kumar'!$B:$B,0)),IFERROR(INDEX('Mr Manu Vikraman'!N:N,MATCH($B49,'Mr Manu Vikraman'!$B:$B,0)),""))</f>
        <v/>
      </c>
      <c r="O49" s="128" t="str">
        <f t="array" ref="O49">IFERROR(INDEX('Mr Sandeep Kumar'!O:O,MATCH($B49,'Mr Sandeep Kumar'!$B:$B,0)),IFERROR(INDEX('Mr Manu Vikraman'!O:O,MATCH($B49,'Mr Manu Vikraman'!$B:$B,0)),""))</f>
        <v/>
      </c>
      <c r="P49" s="128" t="str">
        <f t="array" ref="P49">IFERROR(INDEX('Mr Sandeep Kumar'!P:P,MATCH($B49,'Mr Sandeep Kumar'!$B:$B,0)),IFERROR(INDEX('Mr Manu Vikraman'!P:P,MATCH($B49,'Mr Manu Vikraman'!$B:$B,0)),""))</f>
        <v/>
      </c>
      <c r="Q49" s="129">
        <f t="shared" si="1"/>
        <v>0</v>
      </c>
      <c r="R49" s="130">
        <f t="shared" si="2"/>
        <v>0</v>
      </c>
      <c r="S49" s="131" t="str">
        <f t="shared" si="3"/>
        <v>D</v>
      </c>
      <c r="T49" s="131" t="str">
        <f t="shared" si="4"/>
        <v>Not Started</v>
      </c>
      <c r="U49" s="132"/>
    </row>
    <row r="50" ht="21.75" customHeight="1">
      <c r="A50" s="125">
        <v>44.0</v>
      </c>
      <c r="B50" s="96" t="s">
        <v>303</v>
      </c>
      <c r="C50" s="97" t="s">
        <v>304</v>
      </c>
      <c r="D50" s="97" t="s">
        <v>305</v>
      </c>
      <c r="E50" s="126"/>
      <c r="F50" s="127"/>
      <c r="G50" s="128" t="str">
        <f t="array" ref="G50">IFERROR(INDEX('Mr Sandeep Kumar'!G:G,MATCH($B50,'Mr Sandeep Kumar'!$B:$B,0)),IFERROR(INDEX('Mr Manu Vikraman'!G:G,MATCH($B50,'Mr Manu Vikraman'!$B:$B,0)),""))</f>
        <v/>
      </c>
      <c r="H50" s="128" t="str">
        <f t="array" ref="H50">IFERROR(INDEX('Mr Sandeep Kumar'!H:H,MATCH($B50,'Mr Sandeep Kumar'!$B:$B,0)),IFERROR(INDEX('Mr Manu Vikraman'!H:H,MATCH($B50,'Mr Manu Vikraman'!$B:$B,0)),""))</f>
        <v/>
      </c>
      <c r="I50" s="128" t="str">
        <f t="array" ref="I50">IFERROR(INDEX('Mr Sandeep Kumar'!I:I,MATCH($B50,'Mr Sandeep Kumar'!$B:$B,0)),IFERROR(INDEX('Mr Manu Vikraman'!I:I,MATCH($B50,'Mr Manu Vikraman'!$B:$B,0)),""))</f>
        <v/>
      </c>
      <c r="J50" s="128" t="str">
        <f t="array" ref="J50">IFERROR(INDEX('Mr Sandeep Kumar'!J:J,MATCH($B50,'Mr Sandeep Kumar'!$B:$B,0)),IFERROR(INDEX('Mr Manu Vikraman'!J:J,MATCH($B50,'Mr Manu Vikraman'!$B:$B,0)),""))</f>
        <v/>
      </c>
      <c r="K50" s="128" t="str">
        <f t="array" ref="K50">IFERROR(INDEX('Mr Sandeep Kumar'!K:K,MATCH($B50,'Mr Sandeep Kumar'!$B:$B,0)),IFERROR(INDEX('Mr Manu Vikraman'!K:K,MATCH($B50,'Mr Manu Vikraman'!$B:$B,0)),""))</f>
        <v/>
      </c>
      <c r="L50" s="128" t="str">
        <f t="array" ref="L50">IFERROR(INDEX('Mr Sandeep Kumar'!L:L,MATCH($B50,'Mr Sandeep Kumar'!$B:$B,0)),IFERROR(INDEX('Mr Manu Vikraman'!L:L,MATCH($B50,'Mr Manu Vikraman'!$B:$B,0)),""))</f>
        <v/>
      </c>
      <c r="M50" s="128" t="str">
        <f t="array" ref="M50">IFERROR(INDEX('Mr Sandeep Kumar'!M:M,MATCH($B50,'Mr Sandeep Kumar'!$B:$B,0)),IFERROR(INDEX('Mr Manu Vikraman'!M:M,MATCH($B50,'Mr Manu Vikraman'!$B:$B,0)),""))</f>
        <v/>
      </c>
      <c r="N50" s="128" t="str">
        <f t="array" ref="N50">IFERROR(INDEX('Mr Sandeep Kumar'!N:N,MATCH($B50,'Mr Sandeep Kumar'!$B:$B,0)),IFERROR(INDEX('Mr Manu Vikraman'!N:N,MATCH($B50,'Mr Manu Vikraman'!$B:$B,0)),""))</f>
        <v/>
      </c>
      <c r="O50" s="128" t="str">
        <f t="array" ref="O50">IFERROR(INDEX('Mr Sandeep Kumar'!O:O,MATCH($B50,'Mr Sandeep Kumar'!$B:$B,0)),IFERROR(INDEX('Mr Manu Vikraman'!O:O,MATCH($B50,'Mr Manu Vikraman'!$B:$B,0)),""))</f>
        <v/>
      </c>
      <c r="P50" s="128" t="str">
        <f t="array" ref="P50">IFERROR(INDEX('Mr Sandeep Kumar'!P:P,MATCH($B50,'Mr Sandeep Kumar'!$B:$B,0)),IFERROR(INDEX('Mr Manu Vikraman'!P:P,MATCH($B50,'Mr Manu Vikraman'!$B:$B,0)),""))</f>
        <v/>
      </c>
      <c r="Q50" s="129">
        <f t="shared" si="1"/>
        <v>0</v>
      </c>
      <c r="R50" s="130">
        <f t="shared" si="2"/>
        <v>0</v>
      </c>
      <c r="S50" s="131" t="str">
        <f t="shared" si="3"/>
        <v>D</v>
      </c>
      <c r="T50" s="131" t="str">
        <f t="shared" si="4"/>
        <v>Not Started</v>
      </c>
      <c r="U50" s="132"/>
    </row>
    <row r="51" ht="21.75" customHeight="1">
      <c r="A51" s="125">
        <v>45.0</v>
      </c>
      <c r="B51" s="96" t="s">
        <v>306</v>
      </c>
      <c r="C51" s="97" t="s">
        <v>307</v>
      </c>
      <c r="D51" s="97" t="s">
        <v>308</v>
      </c>
      <c r="E51" s="126"/>
      <c r="F51" s="127"/>
      <c r="G51" s="128" t="str">
        <f t="array" ref="G51">IFERROR(INDEX('Mr Sandeep Kumar'!G:G,MATCH($B51,'Mr Sandeep Kumar'!$B:$B,0)),IFERROR(INDEX('Mr Manu Vikraman'!G:G,MATCH($B51,'Mr Manu Vikraman'!$B:$B,0)),""))</f>
        <v/>
      </c>
      <c r="H51" s="128" t="str">
        <f t="array" ref="H51">IFERROR(INDEX('Mr Sandeep Kumar'!H:H,MATCH($B51,'Mr Sandeep Kumar'!$B:$B,0)),IFERROR(INDEX('Mr Manu Vikraman'!H:H,MATCH($B51,'Mr Manu Vikraman'!$B:$B,0)),""))</f>
        <v/>
      </c>
      <c r="I51" s="128" t="str">
        <f t="array" ref="I51">IFERROR(INDEX('Mr Sandeep Kumar'!I:I,MATCH($B51,'Mr Sandeep Kumar'!$B:$B,0)),IFERROR(INDEX('Mr Manu Vikraman'!I:I,MATCH($B51,'Mr Manu Vikraman'!$B:$B,0)),""))</f>
        <v/>
      </c>
      <c r="J51" s="128" t="str">
        <f t="array" ref="J51">IFERROR(INDEX('Mr Sandeep Kumar'!J:J,MATCH($B51,'Mr Sandeep Kumar'!$B:$B,0)),IFERROR(INDEX('Mr Manu Vikraman'!J:J,MATCH($B51,'Mr Manu Vikraman'!$B:$B,0)),""))</f>
        <v/>
      </c>
      <c r="K51" s="128" t="str">
        <f t="array" ref="K51">IFERROR(INDEX('Mr Sandeep Kumar'!K:K,MATCH($B51,'Mr Sandeep Kumar'!$B:$B,0)),IFERROR(INDEX('Mr Manu Vikraman'!K:K,MATCH($B51,'Mr Manu Vikraman'!$B:$B,0)),""))</f>
        <v/>
      </c>
      <c r="L51" s="128" t="str">
        <f t="array" ref="L51">IFERROR(INDEX('Mr Sandeep Kumar'!L:L,MATCH($B51,'Mr Sandeep Kumar'!$B:$B,0)),IFERROR(INDEX('Mr Manu Vikraman'!L:L,MATCH($B51,'Mr Manu Vikraman'!$B:$B,0)),""))</f>
        <v/>
      </c>
      <c r="M51" s="128" t="str">
        <f t="array" ref="M51">IFERROR(INDEX('Mr Sandeep Kumar'!M:M,MATCH($B51,'Mr Sandeep Kumar'!$B:$B,0)),IFERROR(INDEX('Mr Manu Vikraman'!M:M,MATCH($B51,'Mr Manu Vikraman'!$B:$B,0)),""))</f>
        <v/>
      </c>
      <c r="N51" s="128" t="str">
        <f t="array" ref="N51">IFERROR(INDEX('Mr Sandeep Kumar'!N:N,MATCH($B51,'Mr Sandeep Kumar'!$B:$B,0)),IFERROR(INDEX('Mr Manu Vikraman'!N:N,MATCH($B51,'Mr Manu Vikraman'!$B:$B,0)),""))</f>
        <v/>
      </c>
      <c r="O51" s="128" t="str">
        <f t="array" ref="O51">IFERROR(INDEX('Mr Sandeep Kumar'!O:O,MATCH($B51,'Mr Sandeep Kumar'!$B:$B,0)),IFERROR(INDEX('Mr Manu Vikraman'!O:O,MATCH($B51,'Mr Manu Vikraman'!$B:$B,0)),""))</f>
        <v/>
      </c>
      <c r="P51" s="128" t="str">
        <f t="array" ref="P51">IFERROR(INDEX('Mr Sandeep Kumar'!P:P,MATCH($B51,'Mr Sandeep Kumar'!$B:$B,0)),IFERROR(INDEX('Mr Manu Vikraman'!P:P,MATCH($B51,'Mr Manu Vikraman'!$B:$B,0)),""))</f>
        <v/>
      </c>
      <c r="Q51" s="129">
        <f t="shared" si="1"/>
        <v>0</v>
      </c>
      <c r="R51" s="130">
        <f t="shared" si="2"/>
        <v>0</v>
      </c>
      <c r="S51" s="131" t="str">
        <f t="shared" si="3"/>
        <v>D</v>
      </c>
      <c r="T51" s="131" t="str">
        <f t="shared" si="4"/>
        <v>Not Started</v>
      </c>
      <c r="U51" s="132"/>
    </row>
    <row r="52" ht="21.75" customHeight="1">
      <c r="A52" s="125">
        <v>46.0</v>
      </c>
      <c r="B52" s="96" t="s">
        <v>309</v>
      </c>
      <c r="C52" s="97" t="s">
        <v>310</v>
      </c>
      <c r="D52" s="97" t="s">
        <v>311</v>
      </c>
      <c r="E52" s="126"/>
      <c r="F52" s="127"/>
      <c r="G52" s="128" t="str">
        <f t="array" ref="G52">IFERROR(INDEX('Mr Sandeep Kumar'!G:G,MATCH($B52,'Mr Sandeep Kumar'!$B:$B,0)),IFERROR(INDEX('Mr Manu Vikraman'!G:G,MATCH($B52,'Mr Manu Vikraman'!$B:$B,0)),""))</f>
        <v/>
      </c>
      <c r="H52" s="128" t="str">
        <f t="array" ref="H52">IFERROR(INDEX('Mr Sandeep Kumar'!H:H,MATCH($B52,'Mr Sandeep Kumar'!$B:$B,0)),IFERROR(INDEX('Mr Manu Vikraman'!H:H,MATCH($B52,'Mr Manu Vikraman'!$B:$B,0)),""))</f>
        <v/>
      </c>
      <c r="I52" s="128" t="str">
        <f t="array" ref="I52">IFERROR(INDEX('Mr Sandeep Kumar'!I:I,MATCH($B52,'Mr Sandeep Kumar'!$B:$B,0)),IFERROR(INDEX('Mr Manu Vikraman'!I:I,MATCH($B52,'Mr Manu Vikraman'!$B:$B,0)),""))</f>
        <v/>
      </c>
      <c r="J52" s="128" t="str">
        <f t="array" ref="J52">IFERROR(INDEX('Mr Sandeep Kumar'!J:J,MATCH($B52,'Mr Sandeep Kumar'!$B:$B,0)),IFERROR(INDEX('Mr Manu Vikraman'!J:J,MATCH($B52,'Mr Manu Vikraman'!$B:$B,0)),""))</f>
        <v/>
      </c>
      <c r="K52" s="128" t="str">
        <f t="array" ref="K52">IFERROR(INDEX('Mr Sandeep Kumar'!K:K,MATCH($B52,'Mr Sandeep Kumar'!$B:$B,0)),IFERROR(INDEX('Mr Manu Vikraman'!K:K,MATCH($B52,'Mr Manu Vikraman'!$B:$B,0)),""))</f>
        <v/>
      </c>
      <c r="L52" s="128" t="str">
        <f t="array" ref="L52">IFERROR(INDEX('Mr Sandeep Kumar'!L:L,MATCH($B52,'Mr Sandeep Kumar'!$B:$B,0)),IFERROR(INDEX('Mr Manu Vikraman'!L:L,MATCH($B52,'Mr Manu Vikraman'!$B:$B,0)),""))</f>
        <v/>
      </c>
      <c r="M52" s="128" t="str">
        <f t="array" ref="M52">IFERROR(INDEX('Mr Sandeep Kumar'!M:M,MATCH($B52,'Mr Sandeep Kumar'!$B:$B,0)),IFERROR(INDEX('Mr Manu Vikraman'!M:M,MATCH($B52,'Mr Manu Vikraman'!$B:$B,0)),""))</f>
        <v/>
      </c>
      <c r="N52" s="128" t="str">
        <f t="array" ref="N52">IFERROR(INDEX('Mr Sandeep Kumar'!N:N,MATCH($B52,'Mr Sandeep Kumar'!$B:$B,0)),IFERROR(INDEX('Mr Manu Vikraman'!N:N,MATCH($B52,'Mr Manu Vikraman'!$B:$B,0)),""))</f>
        <v/>
      </c>
      <c r="O52" s="128" t="str">
        <f t="array" ref="O52">IFERROR(INDEX('Mr Sandeep Kumar'!O:O,MATCH($B52,'Mr Sandeep Kumar'!$B:$B,0)),IFERROR(INDEX('Mr Manu Vikraman'!O:O,MATCH($B52,'Mr Manu Vikraman'!$B:$B,0)),""))</f>
        <v/>
      </c>
      <c r="P52" s="128" t="str">
        <f t="array" ref="P52">IFERROR(INDEX('Mr Sandeep Kumar'!P:P,MATCH($B52,'Mr Sandeep Kumar'!$B:$B,0)),IFERROR(INDEX('Mr Manu Vikraman'!P:P,MATCH($B52,'Mr Manu Vikraman'!$B:$B,0)),""))</f>
        <v/>
      </c>
      <c r="Q52" s="129">
        <f t="shared" si="1"/>
        <v>0</v>
      </c>
      <c r="R52" s="130">
        <f t="shared" si="2"/>
        <v>0</v>
      </c>
      <c r="S52" s="131" t="str">
        <f t="shared" si="3"/>
        <v>D</v>
      </c>
      <c r="T52" s="131" t="str">
        <f t="shared" si="4"/>
        <v>Not Started</v>
      </c>
      <c r="U52" s="132"/>
    </row>
    <row r="53" ht="21.75" customHeight="1">
      <c r="A53" s="125">
        <v>47.0</v>
      </c>
      <c r="B53" s="96" t="s">
        <v>312</v>
      </c>
      <c r="C53" s="97" t="s">
        <v>313</v>
      </c>
      <c r="D53" s="97" t="s">
        <v>314</v>
      </c>
      <c r="E53" s="126"/>
      <c r="F53" s="127"/>
      <c r="G53" s="128" t="str">
        <f t="array" ref="G53">IFERROR(INDEX('Mr Sandeep Kumar'!G:G,MATCH($B53,'Mr Sandeep Kumar'!$B:$B,0)),IFERROR(INDEX('Mr Manu Vikraman'!G:G,MATCH($B53,'Mr Manu Vikraman'!$B:$B,0)),""))</f>
        <v/>
      </c>
      <c r="H53" s="128" t="str">
        <f t="array" ref="H53">IFERROR(INDEX('Mr Sandeep Kumar'!H:H,MATCH($B53,'Mr Sandeep Kumar'!$B:$B,0)),IFERROR(INDEX('Mr Manu Vikraman'!H:H,MATCH($B53,'Mr Manu Vikraman'!$B:$B,0)),""))</f>
        <v/>
      </c>
      <c r="I53" s="128" t="str">
        <f t="array" ref="I53">IFERROR(INDEX('Mr Sandeep Kumar'!I:I,MATCH($B53,'Mr Sandeep Kumar'!$B:$B,0)),IFERROR(INDEX('Mr Manu Vikraman'!I:I,MATCH($B53,'Mr Manu Vikraman'!$B:$B,0)),""))</f>
        <v/>
      </c>
      <c r="J53" s="128" t="str">
        <f t="array" ref="J53">IFERROR(INDEX('Mr Sandeep Kumar'!J:J,MATCH($B53,'Mr Sandeep Kumar'!$B:$B,0)),IFERROR(INDEX('Mr Manu Vikraman'!J:J,MATCH($B53,'Mr Manu Vikraman'!$B:$B,0)),""))</f>
        <v/>
      </c>
      <c r="K53" s="128" t="str">
        <f t="array" ref="K53">IFERROR(INDEX('Mr Sandeep Kumar'!K:K,MATCH($B53,'Mr Sandeep Kumar'!$B:$B,0)),IFERROR(INDEX('Mr Manu Vikraman'!K:K,MATCH($B53,'Mr Manu Vikraman'!$B:$B,0)),""))</f>
        <v/>
      </c>
      <c r="L53" s="128" t="str">
        <f t="array" ref="L53">IFERROR(INDEX('Mr Sandeep Kumar'!L:L,MATCH($B53,'Mr Sandeep Kumar'!$B:$B,0)),IFERROR(INDEX('Mr Manu Vikraman'!L:L,MATCH($B53,'Mr Manu Vikraman'!$B:$B,0)),""))</f>
        <v/>
      </c>
      <c r="M53" s="128" t="str">
        <f t="array" ref="M53">IFERROR(INDEX('Mr Sandeep Kumar'!M:M,MATCH($B53,'Mr Sandeep Kumar'!$B:$B,0)),IFERROR(INDEX('Mr Manu Vikraman'!M:M,MATCH($B53,'Mr Manu Vikraman'!$B:$B,0)),""))</f>
        <v/>
      </c>
      <c r="N53" s="128" t="str">
        <f t="array" ref="N53">IFERROR(INDEX('Mr Sandeep Kumar'!N:N,MATCH($B53,'Mr Sandeep Kumar'!$B:$B,0)),IFERROR(INDEX('Mr Manu Vikraman'!N:N,MATCH($B53,'Mr Manu Vikraman'!$B:$B,0)),""))</f>
        <v/>
      </c>
      <c r="O53" s="128" t="str">
        <f t="array" ref="O53">IFERROR(INDEX('Mr Sandeep Kumar'!O:O,MATCH($B53,'Mr Sandeep Kumar'!$B:$B,0)),IFERROR(INDEX('Mr Manu Vikraman'!O:O,MATCH($B53,'Mr Manu Vikraman'!$B:$B,0)),""))</f>
        <v/>
      </c>
      <c r="P53" s="128" t="str">
        <f t="array" ref="P53">IFERROR(INDEX('Mr Sandeep Kumar'!P:P,MATCH($B53,'Mr Sandeep Kumar'!$B:$B,0)),IFERROR(INDEX('Mr Manu Vikraman'!P:P,MATCH($B53,'Mr Manu Vikraman'!$B:$B,0)),""))</f>
        <v/>
      </c>
      <c r="Q53" s="129">
        <f t="shared" si="1"/>
        <v>0</v>
      </c>
      <c r="R53" s="130">
        <f t="shared" si="2"/>
        <v>0</v>
      </c>
      <c r="S53" s="131" t="str">
        <f t="shared" si="3"/>
        <v>D</v>
      </c>
      <c r="T53" s="131" t="str">
        <f t="shared" si="4"/>
        <v>Not Started</v>
      </c>
      <c r="U53" s="132"/>
    </row>
    <row r="54" ht="21.75" customHeight="1">
      <c r="A54" s="125">
        <v>48.0</v>
      </c>
      <c r="B54" s="96" t="s">
        <v>315</v>
      </c>
      <c r="C54" s="97" t="s">
        <v>316</v>
      </c>
      <c r="D54" s="97" t="s">
        <v>317</v>
      </c>
      <c r="E54" s="126"/>
      <c r="F54" s="127"/>
      <c r="G54" s="128" t="str">
        <f t="array" ref="G54">IFERROR(INDEX('Mr Sandeep Kumar'!G:G,MATCH($B54,'Mr Sandeep Kumar'!$B:$B,0)),IFERROR(INDEX('Mr Manu Vikraman'!G:G,MATCH($B54,'Mr Manu Vikraman'!$B:$B,0)),""))</f>
        <v/>
      </c>
      <c r="H54" s="128" t="str">
        <f t="array" ref="H54">IFERROR(INDEX('Mr Sandeep Kumar'!H:H,MATCH($B54,'Mr Sandeep Kumar'!$B:$B,0)),IFERROR(INDEX('Mr Manu Vikraman'!H:H,MATCH($B54,'Mr Manu Vikraman'!$B:$B,0)),""))</f>
        <v/>
      </c>
      <c r="I54" s="128" t="str">
        <f t="array" ref="I54">IFERROR(INDEX('Mr Sandeep Kumar'!I:I,MATCH($B54,'Mr Sandeep Kumar'!$B:$B,0)),IFERROR(INDEX('Mr Manu Vikraman'!I:I,MATCH($B54,'Mr Manu Vikraman'!$B:$B,0)),""))</f>
        <v/>
      </c>
      <c r="J54" s="128" t="str">
        <f t="array" ref="J54">IFERROR(INDEX('Mr Sandeep Kumar'!J:J,MATCH($B54,'Mr Sandeep Kumar'!$B:$B,0)),IFERROR(INDEX('Mr Manu Vikraman'!J:J,MATCH($B54,'Mr Manu Vikraman'!$B:$B,0)),""))</f>
        <v/>
      </c>
      <c r="K54" s="128" t="str">
        <f t="array" ref="K54">IFERROR(INDEX('Mr Sandeep Kumar'!K:K,MATCH($B54,'Mr Sandeep Kumar'!$B:$B,0)),IFERROR(INDEX('Mr Manu Vikraman'!K:K,MATCH($B54,'Mr Manu Vikraman'!$B:$B,0)),""))</f>
        <v/>
      </c>
      <c r="L54" s="128" t="str">
        <f t="array" ref="L54">IFERROR(INDEX('Mr Sandeep Kumar'!L:L,MATCH($B54,'Mr Sandeep Kumar'!$B:$B,0)),IFERROR(INDEX('Mr Manu Vikraman'!L:L,MATCH($B54,'Mr Manu Vikraman'!$B:$B,0)),""))</f>
        <v/>
      </c>
      <c r="M54" s="128" t="str">
        <f t="array" ref="M54">IFERROR(INDEX('Mr Sandeep Kumar'!M:M,MATCH($B54,'Mr Sandeep Kumar'!$B:$B,0)),IFERROR(INDEX('Mr Manu Vikraman'!M:M,MATCH($B54,'Mr Manu Vikraman'!$B:$B,0)),""))</f>
        <v/>
      </c>
      <c r="N54" s="128" t="str">
        <f t="array" ref="N54">IFERROR(INDEX('Mr Sandeep Kumar'!N:N,MATCH($B54,'Mr Sandeep Kumar'!$B:$B,0)),IFERROR(INDEX('Mr Manu Vikraman'!N:N,MATCH($B54,'Mr Manu Vikraman'!$B:$B,0)),""))</f>
        <v/>
      </c>
      <c r="O54" s="128" t="str">
        <f t="array" ref="O54">IFERROR(INDEX('Mr Sandeep Kumar'!O:O,MATCH($B54,'Mr Sandeep Kumar'!$B:$B,0)),IFERROR(INDEX('Mr Manu Vikraman'!O:O,MATCH($B54,'Mr Manu Vikraman'!$B:$B,0)),""))</f>
        <v/>
      </c>
      <c r="P54" s="128" t="str">
        <f t="array" ref="P54">IFERROR(INDEX('Mr Sandeep Kumar'!P:P,MATCH($B54,'Mr Sandeep Kumar'!$B:$B,0)),IFERROR(INDEX('Mr Manu Vikraman'!P:P,MATCH($B54,'Mr Manu Vikraman'!$B:$B,0)),""))</f>
        <v/>
      </c>
      <c r="Q54" s="129">
        <f t="shared" si="1"/>
        <v>0</v>
      </c>
      <c r="R54" s="130">
        <f t="shared" si="2"/>
        <v>0</v>
      </c>
      <c r="S54" s="131" t="str">
        <f t="shared" si="3"/>
        <v>D</v>
      </c>
      <c r="T54" s="131" t="str">
        <f t="shared" si="4"/>
        <v>Not Started</v>
      </c>
      <c r="U54" s="132"/>
    </row>
    <row r="55" ht="21.75" customHeight="1">
      <c r="A55" s="125">
        <v>49.0</v>
      </c>
      <c r="B55" s="96" t="s">
        <v>318</v>
      </c>
      <c r="C55" s="97" t="s">
        <v>319</v>
      </c>
      <c r="D55" s="97" t="s">
        <v>320</v>
      </c>
      <c r="E55" s="126"/>
      <c r="F55" s="127"/>
      <c r="G55" s="128" t="str">
        <f t="array" ref="G55">IFERROR(INDEX('Mr Sandeep Kumar'!G:G,MATCH($B55,'Mr Sandeep Kumar'!$B:$B,0)),IFERROR(INDEX('Mr Manu Vikraman'!G:G,MATCH($B55,'Mr Manu Vikraman'!$B:$B,0)),""))</f>
        <v/>
      </c>
      <c r="H55" s="128" t="str">
        <f t="array" ref="H55">IFERROR(INDEX('Mr Sandeep Kumar'!H:H,MATCH($B55,'Mr Sandeep Kumar'!$B:$B,0)),IFERROR(INDEX('Mr Manu Vikraman'!H:H,MATCH($B55,'Mr Manu Vikraman'!$B:$B,0)),""))</f>
        <v/>
      </c>
      <c r="I55" s="128" t="str">
        <f t="array" ref="I55">IFERROR(INDEX('Mr Sandeep Kumar'!I:I,MATCH($B55,'Mr Sandeep Kumar'!$B:$B,0)),IFERROR(INDEX('Mr Manu Vikraman'!I:I,MATCH($B55,'Mr Manu Vikraman'!$B:$B,0)),""))</f>
        <v/>
      </c>
      <c r="J55" s="128" t="str">
        <f t="array" ref="J55">IFERROR(INDEX('Mr Sandeep Kumar'!J:J,MATCH($B55,'Mr Sandeep Kumar'!$B:$B,0)),IFERROR(INDEX('Mr Manu Vikraman'!J:J,MATCH($B55,'Mr Manu Vikraman'!$B:$B,0)),""))</f>
        <v/>
      </c>
      <c r="K55" s="128" t="str">
        <f t="array" ref="K55">IFERROR(INDEX('Mr Sandeep Kumar'!K:K,MATCH($B55,'Mr Sandeep Kumar'!$B:$B,0)),IFERROR(INDEX('Mr Manu Vikraman'!K:K,MATCH($B55,'Mr Manu Vikraman'!$B:$B,0)),""))</f>
        <v/>
      </c>
      <c r="L55" s="128" t="str">
        <f t="array" ref="L55">IFERROR(INDEX('Mr Sandeep Kumar'!L:L,MATCH($B55,'Mr Sandeep Kumar'!$B:$B,0)),IFERROR(INDEX('Mr Manu Vikraman'!L:L,MATCH($B55,'Mr Manu Vikraman'!$B:$B,0)),""))</f>
        <v/>
      </c>
      <c r="M55" s="128" t="str">
        <f t="array" ref="M55">IFERROR(INDEX('Mr Sandeep Kumar'!M:M,MATCH($B55,'Mr Sandeep Kumar'!$B:$B,0)),IFERROR(INDEX('Mr Manu Vikraman'!M:M,MATCH($B55,'Mr Manu Vikraman'!$B:$B,0)),""))</f>
        <v/>
      </c>
      <c r="N55" s="128" t="str">
        <f t="array" ref="N55">IFERROR(INDEX('Mr Sandeep Kumar'!N:N,MATCH($B55,'Mr Sandeep Kumar'!$B:$B,0)),IFERROR(INDEX('Mr Manu Vikraman'!N:N,MATCH($B55,'Mr Manu Vikraman'!$B:$B,0)),""))</f>
        <v/>
      </c>
      <c r="O55" s="128" t="str">
        <f t="array" ref="O55">IFERROR(INDEX('Mr Sandeep Kumar'!O:O,MATCH($B55,'Mr Sandeep Kumar'!$B:$B,0)),IFERROR(INDEX('Mr Manu Vikraman'!O:O,MATCH($B55,'Mr Manu Vikraman'!$B:$B,0)),""))</f>
        <v/>
      </c>
      <c r="P55" s="128" t="str">
        <f t="array" ref="P55">IFERROR(INDEX('Mr Sandeep Kumar'!P:P,MATCH($B55,'Mr Sandeep Kumar'!$B:$B,0)),IFERROR(INDEX('Mr Manu Vikraman'!P:P,MATCH($B55,'Mr Manu Vikraman'!$B:$B,0)),""))</f>
        <v/>
      </c>
      <c r="Q55" s="129">
        <f t="shared" si="1"/>
        <v>0</v>
      </c>
      <c r="R55" s="130">
        <f t="shared" si="2"/>
        <v>0</v>
      </c>
      <c r="S55" s="131" t="str">
        <f t="shared" si="3"/>
        <v>D</v>
      </c>
      <c r="T55" s="131" t="str">
        <f t="shared" si="4"/>
        <v>Not Started</v>
      </c>
      <c r="U55" s="132"/>
    </row>
    <row r="56" ht="21.75" customHeight="1">
      <c r="A56" s="125">
        <v>50.0</v>
      </c>
      <c r="B56" s="96" t="s">
        <v>321</v>
      </c>
      <c r="C56" s="97" t="s">
        <v>322</v>
      </c>
      <c r="D56" s="97" t="s">
        <v>323</v>
      </c>
      <c r="E56" s="126"/>
      <c r="F56" s="127"/>
      <c r="G56" s="128" t="str">
        <f t="array" ref="G56">IFERROR(INDEX('Mr Sandeep Kumar'!G:G,MATCH($B56,'Mr Sandeep Kumar'!$B:$B,0)),IFERROR(INDEX('Mr Manu Vikraman'!G:G,MATCH($B56,'Mr Manu Vikraman'!$B:$B,0)),""))</f>
        <v/>
      </c>
      <c r="H56" s="128" t="str">
        <f t="array" ref="H56">IFERROR(INDEX('Mr Sandeep Kumar'!H:H,MATCH($B56,'Mr Sandeep Kumar'!$B:$B,0)),IFERROR(INDEX('Mr Manu Vikraman'!H:H,MATCH($B56,'Mr Manu Vikraman'!$B:$B,0)),""))</f>
        <v/>
      </c>
      <c r="I56" s="128" t="str">
        <f t="array" ref="I56">IFERROR(INDEX('Mr Sandeep Kumar'!I:I,MATCH($B56,'Mr Sandeep Kumar'!$B:$B,0)),IFERROR(INDEX('Mr Manu Vikraman'!I:I,MATCH($B56,'Mr Manu Vikraman'!$B:$B,0)),""))</f>
        <v/>
      </c>
      <c r="J56" s="128" t="str">
        <f t="array" ref="J56">IFERROR(INDEX('Mr Sandeep Kumar'!J:J,MATCH($B56,'Mr Sandeep Kumar'!$B:$B,0)),IFERROR(INDEX('Mr Manu Vikraman'!J:J,MATCH($B56,'Mr Manu Vikraman'!$B:$B,0)),""))</f>
        <v/>
      </c>
      <c r="K56" s="128" t="str">
        <f t="array" ref="K56">IFERROR(INDEX('Mr Sandeep Kumar'!K:K,MATCH($B56,'Mr Sandeep Kumar'!$B:$B,0)),IFERROR(INDEX('Mr Manu Vikraman'!K:K,MATCH($B56,'Mr Manu Vikraman'!$B:$B,0)),""))</f>
        <v/>
      </c>
      <c r="L56" s="128" t="str">
        <f t="array" ref="L56">IFERROR(INDEX('Mr Sandeep Kumar'!L:L,MATCH($B56,'Mr Sandeep Kumar'!$B:$B,0)),IFERROR(INDEX('Mr Manu Vikraman'!L:L,MATCH($B56,'Mr Manu Vikraman'!$B:$B,0)),""))</f>
        <v/>
      </c>
      <c r="M56" s="128" t="str">
        <f t="array" ref="M56">IFERROR(INDEX('Mr Sandeep Kumar'!M:M,MATCH($B56,'Mr Sandeep Kumar'!$B:$B,0)),IFERROR(INDEX('Mr Manu Vikraman'!M:M,MATCH($B56,'Mr Manu Vikraman'!$B:$B,0)),""))</f>
        <v/>
      </c>
      <c r="N56" s="128" t="str">
        <f t="array" ref="N56">IFERROR(INDEX('Mr Sandeep Kumar'!N:N,MATCH($B56,'Mr Sandeep Kumar'!$B:$B,0)),IFERROR(INDEX('Mr Manu Vikraman'!N:N,MATCH($B56,'Mr Manu Vikraman'!$B:$B,0)),""))</f>
        <v/>
      </c>
      <c r="O56" s="128" t="str">
        <f t="array" ref="O56">IFERROR(INDEX('Mr Sandeep Kumar'!O:O,MATCH($B56,'Mr Sandeep Kumar'!$B:$B,0)),IFERROR(INDEX('Mr Manu Vikraman'!O:O,MATCH($B56,'Mr Manu Vikraman'!$B:$B,0)),""))</f>
        <v/>
      </c>
      <c r="P56" s="128" t="str">
        <f t="array" ref="P56">IFERROR(INDEX('Mr Sandeep Kumar'!P:P,MATCH($B56,'Mr Sandeep Kumar'!$B:$B,0)),IFERROR(INDEX('Mr Manu Vikraman'!P:P,MATCH($B56,'Mr Manu Vikraman'!$B:$B,0)),""))</f>
        <v/>
      </c>
      <c r="Q56" s="129">
        <f t="shared" si="1"/>
        <v>0</v>
      </c>
      <c r="R56" s="130">
        <f t="shared" si="2"/>
        <v>0</v>
      </c>
      <c r="S56" s="131" t="str">
        <f t="shared" si="3"/>
        <v>D</v>
      </c>
      <c r="T56" s="131" t="str">
        <f t="shared" si="4"/>
        <v>Not Started</v>
      </c>
      <c r="U56" s="132"/>
    </row>
    <row r="57" ht="21.75" customHeight="1">
      <c r="A57" s="125">
        <v>51.0</v>
      </c>
      <c r="B57" s="96" t="s">
        <v>324</v>
      </c>
      <c r="C57" s="97" t="s">
        <v>325</v>
      </c>
      <c r="D57" s="97" t="s">
        <v>326</v>
      </c>
      <c r="E57" s="126"/>
      <c r="F57" s="127"/>
      <c r="G57" s="128" t="str">
        <f t="array" ref="G57">IFERROR(INDEX('Mr Sandeep Kumar'!G:G,MATCH($B57,'Mr Sandeep Kumar'!$B:$B,0)),IFERROR(INDEX('Mr Manu Vikraman'!G:G,MATCH($B57,'Mr Manu Vikraman'!$B:$B,0)),""))</f>
        <v/>
      </c>
      <c r="H57" s="128" t="str">
        <f t="array" ref="H57">IFERROR(INDEX('Mr Sandeep Kumar'!H:H,MATCH($B57,'Mr Sandeep Kumar'!$B:$B,0)),IFERROR(INDEX('Mr Manu Vikraman'!H:H,MATCH($B57,'Mr Manu Vikraman'!$B:$B,0)),""))</f>
        <v/>
      </c>
      <c r="I57" s="128" t="str">
        <f t="array" ref="I57">IFERROR(INDEX('Mr Sandeep Kumar'!I:I,MATCH($B57,'Mr Sandeep Kumar'!$B:$B,0)),IFERROR(INDEX('Mr Manu Vikraman'!I:I,MATCH($B57,'Mr Manu Vikraman'!$B:$B,0)),""))</f>
        <v/>
      </c>
      <c r="J57" s="128" t="str">
        <f t="array" ref="J57">IFERROR(INDEX('Mr Sandeep Kumar'!J:J,MATCH($B57,'Mr Sandeep Kumar'!$B:$B,0)),IFERROR(INDEX('Mr Manu Vikraman'!J:J,MATCH($B57,'Mr Manu Vikraman'!$B:$B,0)),""))</f>
        <v/>
      </c>
      <c r="K57" s="128" t="str">
        <f t="array" ref="K57">IFERROR(INDEX('Mr Sandeep Kumar'!K:K,MATCH($B57,'Mr Sandeep Kumar'!$B:$B,0)),IFERROR(INDEX('Mr Manu Vikraman'!K:K,MATCH($B57,'Mr Manu Vikraman'!$B:$B,0)),""))</f>
        <v/>
      </c>
      <c r="L57" s="128" t="str">
        <f t="array" ref="L57">IFERROR(INDEX('Mr Sandeep Kumar'!L:L,MATCH($B57,'Mr Sandeep Kumar'!$B:$B,0)),IFERROR(INDEX('Mr Manu Vikraman'!L:L,MATCH($B57,'Mr Manu Vikraman'!$B:$B,0)),""))</f>
        <v/>
      </c>
      <c r="M57" s="128" t="str">
        <f t="array" ref="M57">IFERROR(INDEX('Mr Sandeep Kumar'!M:M,MATCH($B57,'Mr Sandeep Kumar'!$B:$B,0)),IFERROR(INDEX('Mr Manu Vikraman'!M:M,MATCH($B57,'Mr Manu Vikraman'!$B:$B,0)),""))</f>
        <v/>
      </c>
      <c r="N57" s="128" t="str">
        <f t="array" ref="N57">IFERROR(INDEX('Mr Sandeep Kumar'!N:N,MATCH($B57,'Mr Sandeep Kumar'!$B:$B,0)),IFERROR(INDEX('Mr Manu Vikraman'!N:N,MATCH($B57,'Mr Manu Vikraman'!$B:$B,0)),""))</f>
        <v/>
      </c>
      <c r="O57" s="128" t="str">
        <f t="array" ref="O57">IFERROR(INDEX('Mr Sandeep Kumar'!O:O,MATCH($B57,'Mr Sandeep Kumar'!$B:$B,0)),IFERROR(INDEX('Mr Manu Vikraman'!O:O,MATCH($B57,'Mr Manu Vikraman'!$B:$B,0)),""))</f>
        <v/>
      </c>
      <c r="P57" s="128" t="str">
        <f t="array" ref="P57">IFERROR(INDEX('Mr Sandeep Kumar'!P:P,MATCH($B57,'Mr Sandeep Kumar'!$B:$B,0)),IFERROR(INDEX('Mr Manu Vikraman'!P:P,MATCH($B57,'Mr Manu Vikraman'!$B:$B,0)),""))</f>
        <v/>
      </c>
      <c r="Q57" s="129">
        <f t="shared" si="1"/>
        <v>0</v>
      </c>
      <c r="R57" s="130">
        <f t="shared" si="2"/>
        <v>0</v>
      </c>
      <c r="S57" s="131" t="str">
        <f t="shared" si="3"/>
        <v>D</v>
      </c>
      <c r="T57" s="131" t="str">
        <f t="shared" si="4"/>
        <v>Not Started</v>
      </c>
      <c r="U57" s="132"/>
    </row>
    <row r="58" ht="21.75" customHeight="1">
      <c r="A58" s="125">
        <v>52.0</v>
      </c>
      <c r="B58" s="96" t="s">
        <v>328</v>
      </c>
      <c r="C58" s="97" t="s">
        <v>329</v>
      </c>
      <c r="D58" s="97" t="s">
        <v>330</v>
      </c>
      <c r="E58" s="126"/>
      <c r="F58" s="127"/>
      <c r="G58" s="128" t="str">
        <f t="array" ref="G58">IFERROR(INDEX('Mr Sandeep Kumar'!G:G,MATCH($B58,'Mr Sandeep Kumar'!$B:$B,0)),IFERROR(INDEX('Mr Manu Vikraman'!G:G,MATCH($B58,'Mr Manu Vikraman'!$B:$B,0)),""))</f>
        <v/>
      </c>
      <c r="H58" s="128" t="str">
        <f t="array" ref="H58">IFERROR(INDEX('Mr Sandeep Kumar'!H:H,MATCH($B58,'Mr Sandeep Kumar'!$B:$B,0)),IFERROR(INDEX('Mr Manu Vikraman'!H:H,MATCH($B58,'Mr Manu Vikraman'!$B:$B,0)),""))</f>
        <v/>
      </c>
      <c r="I58" s="128" t="str">
        <f t="array" ref="I58">IFERROR(INDEX('Mr Sandeep Kumar'!I:I,MATCH($B58,'Mr Sandeep Kumar'!$B:$B,0)),IFERROR(INDEX('Mr Manu Vikraman'!I:I,MATCH($B58,'Mr Manu Vikraman'!$B:$B,0)),""))</f>
        <v/>
      </c>
      <c r="J58" s="128" t="str">
        <f t="array" ref="J58">IFERROR(INDEX('Mr Sandeep Kumar'!J:J,MATCH($B58,'Mr Sandeep Kumar'!$B:$B,0)),IFERROR(INDEX('Mr Manu Vikraman'!J:J,MATCH($B58,'Mr Manu Vikraman'!$B:$B,0)),""))</f>
        <v/>
      </c>
      <c r="K58" s="128" t="str">
        <f t="array" ref="K58">IFERROR(INDEX('Mr Sandeep Kumar'!K:K,MATCH($B58,'Mr Sandeep Kumar'!$B:$B,0)),IFERROR(INDEX('Mr Manu Vikraman'!K:K,MATCH($B58,'Mr Manu Vikraman'!$B:$B,0)),""))</f>
        <v/>
      </c>
      <c r="L58" s="128" t="str">
        <f t="array" ref="L58">IFERROR(INDEX('Mr Sandeep Kumar'!L:L,MATCH($B58,'Mr Sandeep Kumar'!$B:$B,0)),IFERROR(INDEX('Mr Manu Vikraman'!L:L,MATCH($B58,'Mr Manu Vikraman'!$B:$B,0)),""))</f>
        <v/>
      </c>
      <c r="M58" s="128" t="str">
        <f t="array" ref="M58">IFERROR(INDEX('Mr Sandeep Kumar'!M:M,MATCH($B58,'Mr Sandeep Kumar'!$B:$B,0)),IFERROR(INDEX('Mr Manu Vikraman'!M:M,MATCH($B58,'Mr Manu Vikraman'!$B:$B,0)),""))</f>
        <v/>
      </c>
      <c r="N58" s="128" t="str">
        <f t="array" ref="N58">IFERROR(INDEX('Mr Sandeep Kumar'!N:N,MATCH($B58,'Mr Sandeep Kumar'!$B:$B,0)),IFERROR(INDEX('Mr Manu Vikraman'!N:N,MATCH($B58,'Mr Manu Vikraman'!$B:$B,0)),""))</f>
        <v/>
      </c>
      <c r="O58" s="128" t="str">
        <f t="array" ref="O58">IFERROR(INDEX('Mr Sandeep Kumar'!O:O,MATCH($B58,'Mr Sandeep Kumar'!$B:$B,0)),IFERROR(INDEX('Mr Manu Vikraman'!O:O,MATCH($B58,'Mr Manu Vikraman'!$B:$B,0)),""))</f>
        <v/>
      </c>
      <c r="P58" s="128" t="str">
        <f t="array" ref="P58">IFERROR(INDEX('Mr Sandeep Kumar'!P:P,MATCH($B58,'Mr Sandeep Kumar'!$B:$B,0)),IFERROR(INDEX('Mr Manu Vikraman'!P:P,MATCH($B58,'Mr Manu Vikraman'!$B:$B,0)),""))</f>
        <v/>
      </c>
      <c r="Q58" s="129">
        <f t="shared" si="1"/>
        <v>0</v>
      </c>
      <c r="R58" s="130">
        <f t="shared" si="2"/>
        <v>0</v>
      </c>
      <c r="S58" s="131" t="str">
        <f t="shared" si="3"/>
        <v>D</v>
      </c>
      <c r="T58" s="131" t="str">
        <f t="shared" si="4"/>
        <v>Not Started</v>
      </c>
      <c r="U58" s="132"/>
    </row>
    <row r="59" ht="21.75" customHeight="1">
      <c r="A59" s="125">
        <v>53.0</v>
      </c>
      <c r="B59" s="96" t="s">
        <v>331</v>
      </c>
      <c r="C59" s="97" t="s">
        <v>332</v>
      </c>
      <c r="D59" s="97" t="s">
        <v>333</v>
      </c>
      <c r="E59" s="126"/>
      <c r="F59" s="127"/>
      <c r="G59" s="128" t="str">
        <f t="array" ref="G59">IFERROR(INDEX('Mr Sandeep Kumar'!G:G,MATCH($B59,'Mr Sandeep Kumar'!$B:$B,0)),IFERROR(INDEX('Mr Manu Vikraman'!G:G,MATCH($B59,'Mr Manu Vikraman'!$B:$B,0)),""))</f>
        <v/>
      </c>
      <c r="H59" s="128" t="str">
        <f t="array" ref="H59">IFERROR(INDEX('Mr Sandeep Kumar'!H:H,MATCH($B59,'Mr Sandeep Kumar'!$B:$B,0)),IFERROR(INDEX('Mr Manu Vikraman'!H:H,MATCH($B59,'Mr Manu Vikraman'!$B:$B,0)),""))</f>
        <v/>
      </c>
      <c r="I59" s="128" t="str">
        <f t="array" ref="I59">IFERROR(INDEX('Mr Sandeep Kumar'!I:I,MATCH($B59,'Mr Sandeep Kumar'!$B:$B,0)),IFERROR(INDEX('Mr Manu Vikraman'!I:I,MATCH($B59,'Mr Manu Vikraman'!$B:$B,0)),""))</f>
        <v/>
      </c>
      <c r="J59" s="128" t="str">
        <f t="array" ref="J59">IFERROR(INDEX('Mr Sandeep Kumar'!J:J,MATCH($B59,'Mr Sandeep Kumar'!$B:$B,0)),IFERROR(INDEX('Mr Manu Vikraman'!J:J,MATCH($B59,'Mr Manu Vikraman'!$B:$B,0)),""))</f>
        <v/>
      </c>
      <c r="K59" s="128" t="str">
        <f t="array" ref="K59">IFERROR(INDEX('Mr Sandeep Kumar'!K:K,MATCH($B59,'Mr Sandeep Kumar'!$B:$B,0)),IFERROR(INDEX('Mr Manu Vikraman'!K:K,MATCH($B59,'Mr Manu Vikraman'!$B:$B,0)),""))</f>
        <v/>
      </c>
      <c r="L59" s="128" t="str">
        <f t="array" ref="L59">IFERROR(INDEX('Mr Sandeep Kumar'!L:L,MATCH($B59,'Mr Sandeep Kumar'!$B:$B,0)),IFERROR(INDEX('Mr Manu Vikraman'!L:L,MATCH($B59,'Mr Manu Vikraman'!$B:$B,0)),""))</f>
        <v/>
      </c>
      <c r="M59" s="128" t="str">
        <f t="array" ref="M59">IFERROR(INDEX('Mr Sandeep Kumar'!M:M,MATCH($B59,'Mr Sandeep Kumar'!$B:$B,0)),IFERROR(INDEX('Mr Manu Vikraman'!M:M,MATCH($B59,'Mr Manu Vikraman'!$B:$B,0)),""))</f>
        <v/>
      </c>
      <c r="N59" s="128" t="str">
        <f t="array" ref="N59">IFERROR(INDEX('Mr Sandeep Kumar'!N:N,MATCH($B59,'Mr Sandeep Kumar'!$B:$B,0)),IFERROR(INDEX('Mr Manu Vikraman'!N:N,MATCH($B59,'Mr Manu Vikraman'!$B:$B,0)),""))</f>
        <v/>
      </c>
      <c r="O59" s="128" t="str">
        <f t="array" ref="O59">IFERROR(INDEX('Mr Sandeep Kumar'!O:O,MATCH($B59,'Mr Sandeep Kumar'!$B:$B,0)),IFERROR(INDEX('Mr Manu Vikraman'!O:O,MATCH($B59,'Mr Manu Vikraman'!$B:$B,0)),""))</f>
        <v/>
      </c>
      <c r="P59" s="128" t="str">
        <f t="array" ref="P59">IFERROR(INDEX('Mr Sandeep Kumar'!P:P,MATCH($B59,'Mr Sandeep Kumar'!$B:$B,0)),IFERROR(INDEX('Mr Manu Vikraman'!P:P,MATCH($B59,'Mr Manu Vikraman'!$B:$B,0)),""))</f>
        <v/>
      </c>
      <c r="Q59" s="129">
        <f t="shared" si="1"/>
        <v>0</v>
      </c>
      <c r="R59" s="130">
        <f t="shared" si="2"/>
        <v>0</v>
      </c>
      <c r="S59" s="131" t="str">
        <f t="shared" si="3"/>
        <v>D</v>
      </c>
      <c r="T59" s="131" t="str">
        <f t="shared" si="4"/>
        <v>Not Started</v>
      </c>
      <c r="U59" s="132"/>
    </row>
    <row r="60" ht="21.75" customHeight="1">
      <c r="A60" s="125">
        <v>54.0</v>
      </c>
      <c r="B60" s="96" t="s">
        <v>334</v>
      </c>
      <c r="C60" s="97" t="s">
        <v>335</v>
      </c>
      <c r="D60" s="97" t="s">
        <v>336</v>
      </c>
      <c r="E60" s="126"/>
      <c r="F60" s="127"/>
      <c r="G60" s="128" t="str">
        <f t="array" ref="G60">IFERROR(INDEX('Mr Sandeep Kumar'!G:G,MATCH($B60,'Mr Sandeep Kumar'!$B:$B,0)),IFERROR(INDEX('Mr Manu Vikraman'!G:G,MATCH($B60,'Mr Manu Vikraman'!$B:$B,0)),""))</f>
        <v/>
      </c>
      <c r="H60" s="128" t="str">
        <f t="array" ref="H60">IFERROR(INDEX('Mr Sandeep Kumar'!H:H,MATCH($B60,'Mr Sandeep Kumar'!$B:$B,0)),IFERROR(INDEX('Mr Manu Vikraman'!H:H,MATCH($B60,'Mr Manu Vikraman'!$B:$B,0)),""))</f>
        <v/>
      </c>
      <c r="I60" s="128" t="str">
        <f t="array" ref="I60">IFERROR(INDEX('Mr Sandeep Kumar'!I:I,MATCH($B60,'Mr Sandeep Kumar'!$B:$B,0)),IFERROR(INDEX('Mr Manu Vikraman'!I:I,MATCH($B60,'Mr Manu Vikraman'!$B:$B,0)),""))</f>
        <v/>
      </c>
      <c r="J60" s="128" t="str">
        <f t="array" ref="J60">IFERROR(INDEX('Mr Sandeep Kumar'!J:J,MATCH($B60,'Mr Sandeep Kumar'!$B:$B,0)),IFERROR(INDEX('Mr Manu Vikraman'!J:J,MATCH($B60,'Mr Manu Vikraman'!$B:$B,0)),""))</f>
        <v/>
      </c>
      <c r="K60" s="128" t="str">
        <f t="array" ref="K60">IFERROR(INDEX('Mr Sandeep Kumar'!K:K,MATCH($B60,'Mr Sandeep Kumar'!$B:$B,0)),IFERROR(INDEX('Mr Manu Vikraman'!K:K,MATCH($B60,'Mr Manu Vikraman'!$B:$B,0)),""))</f>
        <v/>
      </c>
      <c r="L60" s="128" t="str">
        <f t="array" ref="L60">IFERROR(INDEX('Mr Sandeep Kumar'!L:L,MATCH($B60,'Mr Sandeep Kumar'!$B:$B,0)),IFERROR(INDEX('Mr Manu Vikraman'!L:L,MATCH($B60,'Mr Manu Vikraman'!$B:$B,0)),""))</f>
        <v/>
      </c>
      <c r="M60" s="128" t="str">
        <f t="array" ref="M60">IFERROR(INDEX('Mr Sandeep Kumar'!M:M,MATCH($B60,'Mr Sandeep Kumar'!$B:$B,0)),IFERROR(INDEX('Mr Manu Vikraman'!M:M,MATCH($B60,'Mr Manu Vikraman'!$B:$B,0)),""))</f>
        <v/>
      </c>
      <c r="N60" s="128" t="str">
        <f t="array" ref="N60">IFERROR(INDEX('Mr Sandeep Kumar'!N:N,MATCH($B60,'Mr Sandeep Kumar'!$B:$B,0)),IFERROR(INDEX('Mr Manu Vikraman'!N:N,MATCH($B60,'Mr Manu Vikraman'!$B:$B,0)),""))</f>
        <v/>
      </c>
      <c r="O60" s="128" t="str">
        <f t="array" ref="O60">IFERROR(INDEX('Mr Sandeep Kumar'!O:O,MATCH($B60,'Mr Sandeep Kumar'!$B:$B,0)),IFERROR(INDEX('Mr Manu Vikraman'!O:O,MATCH($B60,'Mr Manu Vikraman'!$B:$B,0)),""))</f>
        <v/>
      </c>
      <c r="P60" s="128" t="str">
        <f t="array" ref="P60">IFERROR(INDEX('Mr Sandeep Kumar'!P:P,MATCH($B60,'Mr Sandeep Kumar'!$B:$B,0)),IFERROR(INDEX('Mr Manu Vikraman'!P:P,MATCH($B60,'Mr Manu Vikraman'!$B:$B,0)),""))</f>
        <v/>
      </c>
      <c r="Q60" s="129">
        <f t="shared" si="1"/>
        <v>0</v>
      </c>
      <c r="R60" s="130">
        <f t="shared" si="2"/>
        <v>0</v>
      </c>
      <c r="S60" s="131" t="str">
        <f t="shared" si="3"/>
        <v>D</v>
      </c>
      <c r="T60" s="131" t="str">
        <f t="shared" si="4"/>
        <v>Not Started</v>
      </c>
      <c r="U60" s="132"/>
    </row>
    <row r="61" ht="21.75" customHeight="1">
      <c r="A61" s="125">
        <v>55.0</v>
      </c>
      <c r="B61" s="96" t="s">
        <v>337</v>
      </c>
      <c r="C61" s="97" t="s">
        <v>338</v>
      </c>
      <c r="D61" s="97" t="s">
        <v>339</v>
      </c>
      <c r="E61" s="126"/>
      <c r="F61" s="127"/>
      <c r="G61" s="128" t="str">
        <f t="array" ref="G61">IFERROR(INDEX('Mr Sandeep Kumar'!G:G,MATCH($B61,'Mr Sandeep Kumar'!$B:$B,0)),IFERROR(INDEX('Mr Manu Vikraman'!G:G,MATCH($B61,'Mr Manu Vikraman'!$B:$B,0)),""))</f>
        <v/>
      </c>
      <c r="H61" s="128" t="str">
        <f t="array" ref="H61">IFERROR(INDEX('Mr Sandeep Kumar'!H:H,MATCH($B61,'Mr Sandeep Kumar'!$B:$B,0)),IFERROR(INDEX('Mr Manu Vikraman'!H:H,MATCH($B61,'Mr Manu Vikraman'!$B:$B,0)),""))</f>
        <v/>
      </c>
      <c r="I61" s="128" t="str">
        <f t="array" ref="I61">IFERROR(INDEX('Mr Sandeep Kumar'!I:I,MATCH($B61,'Mr Sandeep Kumar'!$B:$B,0)),IFERROR(INDEX('Mr Manu Vikraman'!I:I,MATCH($B61,'Mr Manu Vikraman'!$B:$B,0)),""))</f>
        <v/>
      </c>
      <c r="J61" s="128" t="str">
        <f t="array" ref="J61">IFERROR(INDEX('Mr Sandeep Kumar'!J:J,MATCH($B61,'Mr Sandeep Kumar'!$B:$B,0)),IFERROR(INDEX('Mr Manu Vikraman'!J:J,MATCH($B61,'Mr Manu Vikraman'!$B:$B,0)),""))</f>
        <v/>
      </c>
      <c r="K61" s="128" t="str">
        <f t="array" ref="K61">IFERROR(INDEX('Mr Sandeep Kumar'!K:K,MATCH($B61,'Mr Sandeep Kumar'!$B:$B,0)),IFERROR(INDEX('Mr Manu Vikraman'!K:K,MATCH($B61,'Mr Manu Vikraman'!$B:$B,0)),""))</f>
        <v/>
      </c>
      <c r="L61" s="128" t="str">
        <f t="array" ref="L61">IFERROR(INDEX('Mr Sandeep Kumar'!L:L,MATCH($B61,'Mr Sandeep Kumar'!$B:$B,0)),IFERROR(INDEX('Mr Manu Vikraman'!L:L,MATCH($B61,'Mr Manu Vikraman'!$B:$B,0)),""))</f>
        <v/>
      </c>
      <c r="M61" s="128" t="str">
        <f t="array" ref="M61">IFERROR(INDEX('Mr Sandeep Kumar'!M:M,MATCH($B61,'Mr Sandeep Kumar'!$B:$B,0)),IFERROR(INDEX('Mr Manu Vikraman'!M:M,MATCH($B61,'Mr Manu Vikraman'!$B:$B,0)),""))</f>
        <v/>
      </c>
      <c r="N61" s="128" t="str">
        <f t="array" ref="N61">IFERROR(INDEX('Mr Sandeep Kumar'!N:N,MATCH($B61,'Mr Sandeep Kumar'!$B:$B,0)),IFERROR(INDEX('Mr Manu Vikraman'!N:N,MATCH($B61,'Mr Manu Vikraman'!$B:$B,0)),""))</f>
        <v/>
      </c>
      <c r="O61" s="128" t="str">
        <f t="array" ref="O61">IFERROR(INDEX('Mr Sandeep Kumar'!O:O,MATCH($B61,'Mr Sandeep Kumar'!$B:$B,0)),IFERROR(INDEX('Mr Manu Vikraman'!O:O,MATCH($B61,'Mr Manu Vikraman'!$B:$B,0)),""))</f>
        <v/>
      </c>
      <c r="P61" s="128" t="str">
        <f t="array" ref="P61">IFERROR(INDEX('Mr Sandeep Kumar'!P:P,MATCH($B61,'Mr Sandeep Kumar'!$B:$B,0)),IFERROR(INDEX('Mr Manu Vikraman'!P:P,MATCH($B61,'Mr Manu Vikraman'!$B:$B,0)),""))</f>
        <v/>
      </c>
      <c r="Q61" s="129">
        <f t="shared" si="1"/>
        <v>0</v>
      </c>
      <c r="R61" s="130">
        <f t="shared" si="2"/>
        <v>0</v>
      </c>
      <c r="S61" s="131" t="str">
        <f t="shared" si="3"/>
        <v>D</v>
      </c>
      <c r="T61" s="131" t="str">
        <f t="shared" si="4"/>
        <v>Not Started</v>
      </c>
      <c r="U61" s="132"/>
    </row>
    <row r="62" ht="21.75" customHeight="1">
      <c r="A62" s="125">
        <v>56.0</v>
      </c>
      <c r="B62" s="96" t="s">
        <v>340</v>
      </c>
      <c r="C62" s="97" t="s">
        <v>341</v>
      </c>
      <c r="D62" s="97" t="s">
        <v>342</v>
      </c>
      <c r="E62" s="126"/>
      <c r="F62" s="127"/>
      <c r="G62" s="128" t="str">
        <f t="array" ref="G62">IFERROR(INDEX('Mr Sandeep Kumar'!G:G,MATCH($B62,'Mr Sandeep Kumar'!$B:$B,0)),IFERROR(INDEX('Mr Manu Vikraman'!G:G,MATCH($B62,'Mr Manu Vikraman'!$B:$B,0)),""))</f>
        <v/>
      </c>
      <c r="H62" s="128" t="str">
        <f t="array" ref="H62">IFERROR(INDEX('Mr Sandeep Kumar'!H:H,MATCH($B62,'Mr Sandeep Kumar'!$B:$B,0)),IFERROR(INDEX('Mr Manu Vikraman'!H:H,MATCH($B62,'Mr Manu Vikraman'!$B:$B,0)),""))</f>
        <v/>
      </c>
      <c r="I62" s="128" t="str">
        <f t="array" ref="I62">IFERROR(INDEX('Mr Sandeep Kumar'!I:I,MATCH($B62,'Mr Sandeep Kumar'!$B:$B,0)),IFERROR(INDEX('Mr Manu Vikraman'!I:I,MATCH($B62,'Mr Manu Vikraman'!$B:$B,0)),""))</f>
        <v/>
      </c>
      <c r="J62" s="128" t="str">
        <f t="array" ref="J62">IFERROR(INDEX('Mr Sandeep Kumar'!J:J,MATCH($B62,'Mr Sandeep Kumar'!$B:$B,0)),IFERROR(INDEX('Mr Manu Vikraman'!J:J,MATCH($B62,'Mr Manu Vikraman'!$B:$B,0)),""))</f>
        <v/>
      </c>
      <c r="K62" s="128" t="str">
        <f t="array" ref="K62">IFERROR(INDEX('Mr Sandeep Kumar'!K:K,MATCH($B62,'Mr Sandeep Kumar'!$B:$B,0)),IFERROR(INDEX('Mr Manu Vikraman'!K:K,MATCH($B62,'Mr Manu Vikraman'!$B:$B,0)),""))</f>
        <v/>
      </c>
      <c r="L62" s="128" t="str">
        <f t="array" ref="L62">IFERROR(INDEX('Mr Sandeep Kumar'!L:L,MATCH($B62,'Mr Sandeep Kumar'!$B:$B,0)),IFERROR(INDEX('Mr Manu Vikraman'!L:L,MATCH($B62,'Mr Manu Vikraman'!$B:$B,0)),""))</f>
        <v/>
      </c>
      <c r="M62" s="128" t="str">
        <f t="array" ref="M62">IFERROR(INDEX('Mr Sandeep Kumar'!M:M,MATCH($B62,'Mr Sandeep Kumar'!$B:$B,0)),IFERROR(INDEX('Mr Manu Vikraman'!M:M,MATCH($B62,'Mr Manu Vikraman'!$B:$B,0)),""))</f>
        <v/>
      </c>
      <c r="N62" s="128" t="str">
        <f t="array" ref="N62">IFERROR(INDEX('Mr Sandeep Kumar'!N:N,MATCH($B62,'Mr Sandeep Kumar'!$B:$B,0)),IFERROR(INDEX('Mr Manu Vikraman'!N:N,MATCH($B62,'Mr Manu Vikraman'!$B:$B,0)),""))</f>
        <v/>
      </c>
      <c r="O62" s="128" t="str">
        <f t="array" ref="O62">IFERROR(INDEX('Mr Sandeep Kumar'!O:O,MATCH($B62,'Mr Sandeep Kumar'!$B:$B,0)),IFERROR(INDEX('Mr Manu Vikraman'!O:O,MATCH($B62,'Mr Manu Vikraman'!$B:$B,0)),""))</f>
        <v/>
      </c>
      <c r="P62" s="128" t="str">
        <f t="array" ref="P62">IFERROR(INDEX('Mr Sandeep Kumar'!P:P,MATCH($B62,'Mr Sandeep Kumar'!$B:$B,0)),IFERROR(INDEX('Mr Manu Vikraman'!P:P,MATCH($B62,'Mr Manu Vikraman'!$B:$B,0)),""))</f>
        <v/>
      </c>
      <c r="Q62" s="129">
        <f t="shared" si="1"/>
        <v>0</v>
      </c>
      <c r="R62" s="130">
        <f t="shared" si="2"/>
        <v>0</v>
      </c>
      <c r="S62" s="131" t="str">
        <f t="shared" si="3"/>
        <v>D</v>
      </c>
      <c r="T62" s="131" t="str">
        <f t="shared" si="4"/>
        <v>Not Started</v>
      </c>
      <c r="U62" s="132"/>
    </row>
    <row r="63" ht="21.75" customHeight="1">
      <c r="A63" s="125">
        <v>57.0</v>
      </c>
      <c r="B63" s="96" t="s">
        <v>343</v>
      </c>
      <c r="C63" s="97" t="s">
        <v>344</v>
      </c>
      <c r="D63" s="97" t="s">
        <v>345</v>
      </c>
      <c r="E63" s="126"/>
      <c r="F63" s="127"/>
      <c r="G63" s="128" t="str">
        <f t="array" ref="G63">IFERROR(INDEX('Mr Sandeep Kumar'!G:G,MATCH($B63,'Mr Sandeep Kumar'!$B:$B,0)),IFERROR(INDEX('Mr Manu Vikraman'!G:G,MATCH($B63,'Mr Manu Vikraman'!$B:$B,0)),""))</f>
        <v/>
      </c>
      <c r="H63" s="128" t="str">
        <f t="array" ref="H63">IFERROR(INDEX('Mr Sandeep Kumar'!H:H,MATCH($B63,'Mr Sandeep Kumar'!$B:$B,0)),IFERROR(INDEX('Mr Manu Vikraman'!H:H,MATCH($B63,'Mr Manu Vikraman'!$B:$B,0)),""))</f>
        <v/>
      </c>
      <c r="I63" s="128" t="str">
        <f t="array" ref="I63">IFERROR(INDEX('Mr Sandeep Kumar'!I:I,MATCH($B63,'Mr Sandeep Kumar'!$B:$B,0)),IFERROR(INDEX('Mr Manu Vikraman'!I:I,MATCH($B63,'Mr Manu Vikraman'!$B:$B,0)),""))</f>
        <v/>
      </c>
      <c r="J63" s="128" t="str">
        <f t="array" ref="J63">IFERROR(INDEX('Mr Sandeep Kumar'!J:J,MATCH($B63,'Mr Sandeep Kumar'!$B:$B,0)),IFERROR(INDEX('Mr Manu Vikraman'!J:J,MATCH($B63,'Mr Manu Vikraman'!$B:$B,0)),""))</f>
        <v/>
      </c>
      <c r="K63" s="128" t="str">
        <f t="array" ref="K63">IFERROR(INDEX('Mr Sandeep Kumar'!K:K,MATCH($B63,'Mr Sandeep Kumar'!$B:$B,0)),IFERROR(INDEX('Mr Manu Vikraman'!K:K,MATCH($B63,'Mr Manu Vikraman'!$B:$B,0)),""))</f>
        <v/>
      </c>
      <c r="L63" s="128" t="str">
        <f t="array" ref="L63">IFERROR(INDEX('Mr Sandeep Kumar'!L:L,MATCH($B63,'Mr Sandeep Kumar'!$B:$B,0)),IFERROR(INDEX('Mr Manu Vikraman'!L:L,MATCH($B63,'Mr Manu Vikraman'!$B:$B,0)),""))</f>
        <v/>
      </c>
      <c r="M63" s="128" t="str">
        <f t="array" ref="M63">IFERROR(INDEX('Mr Sandeep Kumar'!M:M,MATCH($B63,'Mr Sandeep Kumar'!$B:$B,0)),IFERROR(INDEX('Mr Manu Vikraman'!M:M,MATCH($B63,'Mr Manu Vikraman'!$B:$B,0)),""))</f>
        <v/>
      </c>
      <c r="N63" s="128" t="str">
        <f t="array" ref="N63">IFERROR(INDEX('Mr Sandeep Kumar'!N:N,MATCH($B63,'Mr Sandeep Kumar'!$B:$B,0)),IFERROR(INDEX('Mr Manu Vikraman'!N:N,MATCH($B63,'Mr Manu Vikraman'!$B:$B,0)),""))</f>
        <v/>
      </c>
      <c r="O63" s="128" t="str">
        <f t="array" ref="O63">IFERROR(INDEX('Mr Sandeep Kumar'!O:O,MATCH($B63,'Mr Sandeep Kumar'!$B:$B,0)),IFERROR(INDEX('Mr Manu Vikraman'!O:O,MATCH($B63,'Mr Manu Vikraman'!$B:$B,0)),""))</f>
        <v/>
      </c>
      <c r="P63" s="128" t="str">
        <f t="array" ref="P63">IFERROR(INDEX('Mr Sandeep Kumar'!P:P,MATCH($B63,'Mr Sandeep Kumar'!$B:$B,0)),IFERROR(INDEX('Mr Manu Vikraman'!P:P,MATCH($B63,'Mr Manu Vikraman'!$B:$B,0)),""))</f>
        <v/>
      </c>
      <c r="Q63" s="129">
        <f t="shared" si="1"/>
        <v>0</v>
      </c>
      <c r="R63" s="130">
        <f t="shared" si="2"/>
        <v>0</v>
      </c>
      <c r="S63" s="131" t="str">
        <f t="shared" si="3"/>
        <v>D</v>
      </c>
      <c r="T63" s="131" t="str">
        <f t="shared" si="4"/>
        <v>Not Started</v>
      </c>
      <c r="U63" s="132"/>
    </row>
    <row r="64" ht="21.75" customHeight="1">
      <c r="A64" s="125">
        <v>58.0</v>
      </c>
      <c r="B64" s="96" t="s">
        <v>346</v>
      </c>
      <c r="C64" s="97" t="s">
        <v>347</v>
      </c>
      <c r="D64" s="97" t="s">
        <v>348</v>
      </c>
      <c r="E64" s="126"/>
      <c r="F64" s="127"/>
      <c r="G64" s="128" t="str">
        <f t="array" ref="G64">IFERROR(INDEX('Mr Sandeep Kumar'!G:G,MATCH($B64,'Mr Sandeep Kumar'!$B:$B,0)),IFERROR(INDEX('Mr Manu Vikraman'!G:G,MATCH($B64,'Mr Manu Vikraman'!$B:$B,0)),""))</f>
        <v/>
      </c>
      <c r="H64" s="128" t="str">
        <f t="array" ref="H64">IFERROR(INDEX('Mr Sandeep Kumar'!H:H,MATCH($B64,'Mr Sandeep Kumar'!$B:$B,0)),IFERROR(INDEX('Mr Manu Vikraman'!H:H,MATCH($B64,'Mr Manu Vikraman'!$B:$B,0)),""))</f>
        <v/>
      </c>
      <c r="I64" s="128" t="str">
        <f t="array" ref="I64">IFERROR(INDEX('Mr Sandeep Kumar'!I:I,MATCH($B64,'Mr Sandeep Kumar'!$B:$B,0)),IFERROR(INDEX('Mr Manu Vikraman'!I:I,MATCH($B64,'Mr Manu Vikraman'!$B:$B,0)),""))</f>
        <v/>
      </c>
      <c r="J64" s="128" t="str">
        <f t="array" ref="J64">IFERROR(INDEX('Mr Sandeep Kumar'!J:J,MATCH($B64,'Mr Sandeep Kumar'!$B:$B,0)),IFERROR(INDEX('Mr Manu Vikraman'!J:J,MATCH($B64,'Mr Manu Vikraman'!$B:$B,0)),""))</f>
        <v/>
      </c>
      <c r="K64" s="128" t="str">
        <f t="array" ref="K64">IFERROR(INDEX('Mr Sandeep Kumar'!K:K,MATCH($B64,'Mr Sandeep Kumar'!$B:$B,0)),IFERROR(INDEX('Mr Manu Vikraman'!K:K,MATCH($B64,'Mr Manu Vikraman'!$B:$B,0)),""))</f>
        <v/>
      </c>
      <c r="L64" s="128" t="str">
        <f t="array" ref="L64">IFERROR(INDEX('Mr Sandeep Kumar'!L:L,MATCH($B64,'Mr Sandeep Kumar'!$B:$B,0)),IFERROR(INDEX('Mr Manu Vikraman'!L:L,MATCH($B64,'Mr Manu Vikraman'!$B:$B,0)),""))</f>
        <v/>
      </c>
      <c r="M64" s="128" t="str">
        <f t="array" ref="M64">IFERROR(INDEX('Mr Sandeep Kumar'!M:M,MATCH($B64,'Mr Sandeep Kumar'!$B:$B,0)),IFERROR(INDEX('Mr Manu Vikraman'!M:M,MATCH($B64,'Mr Manu Vikraman'!$B:$B,0)),""))</f>
        <v/>
      </c>
      <c r="N64" s="128" t="str">
        <f t="array" ref="N64">IFERROR(INDEX('Mr Sandeep Kumar'!N:N,MATCH($B64,'Mr Sandeep Kumar'!$B:$B,0)),IFERROR(INDEX('Mr Manu Vikraman'!N:N,MATCH($B64,'Mr Manu Vikraman'!$B:$B,0)),""))</f>
        <v/>
      </c>
      <c r="O64" s="128" t="str">
        <f t="array" ref="O64">IFERROR(INDEX('Mr Sandeep Kumar'!O:O,MATCH($B64,'Mr Sandeep Kumar'!$B:$B,0)),IFERROR(INDEX('Mr Manu Vikraman'!O:O,MATCH($B64,'Mr Manu Vikraman'!$B:$B,0)),""))</f>
        <v/>
      </c>
      <c r="P64" s="128" t="str">
        <f t="array" ref="P64">IFERROR(INDEX('Mr Sandeep Kumar'!P:P,MATCH($B64,'Mr Sandeep Kumar'!$B:$B,0)),IFERROR(INDEX('Mr Manu Vikraman'!P:P,MATCH($B64,'Mr Manu Vikraman'!$B:$B,0)),""))</f>
        <v/>
      </c>
      <c r="Q64" s="129">
        <f t="shared" si="1"/>
        <v>0</v>
      </c>
      <c r="R64" s="130">
        <f t="shared" si="2"/>
        <v>0</v>
      </c>
      <c r="S64" s="131" t="str">
        <f t="shared" si="3"/>
        <v>D</v>
      </c>
      <c r="T64" s="131" t="str">
        <f t="shared" si="4"/>
        <v>Not Started</v>
      </c>
      <c r="U64" s="132"/>
    </row>
    <row r="65" ht="21.75" customHeight="1">
      <c r="A65" s="125">
        <v>59.0</v>
      </c>
      <c r="B65" s="96" t="s">
        <v>349</v>
      </c>
      <c r="C65" s="97" t="s">
        <v>350</v>
      </c>
      <c r="D65" s="97" t="s">
        <v>351</v>
      </c>
      <c r="E65" s="126"/>
      <c r="F65" s="127"/>
      <c r="G65" s="128" t="str">
        <f t="array" ref="G65">IFERROR(INDEX('Mr Sandeep Kumar'!G:G,MATCH($B65,'Mr Sandeep Kumar'!$B:$B,0)),IFERROR(INDEX('Mr Manu Vikraman'!G:G,MATCH($B65,'Mr Manu Vikraman'!$B:$B,0)),""))</f>
        <v/>
      </c>
      <c r="H65" s="128" t="str">
        <f t="array" ref="H65">IFERROR(INDEX('Mr Sandeep Kumar'!H:H,MATCH($B65,'Mr Sandeep Kumar'!$B:$B,0)),IFERROR(INDEX('Mr Manu Vikraman'!H:H,MATCH($B65,'Mr Manu Vikraman'!$B:$B,0)),""))</f>
        <v/>
      </c>
      <c r="I65" s="128" t="str">
        <f t="array" ref="I65">IFERROR(INDEX('Mr Sandeep Kumar'!I:I,MATCH($B65,'Mr Sandeep Kumar'!$B:$B,0)),IFERROR(INDEX('Mr Manu Vikraman'!I:I,MATCH($B65,'Mr Manu Vikraman'!$B:$B,0)),""))</f>
        <v/>
      </c>
      <c r="J65" s="128" t="str">
        <f t="array" ref="J65">IFERROR(INDEX('Mr Sandeep Kumar'!J:J,MATCH($B65,'Mr Sandeep Kumar'!$B:$B,0)),IFERROR(INDEX('Mr Manu Vikraman'!J:J,MATCH($B65,'Mr Manu Vikraman'!$B:$B,0)),""))</f>
        <v/>
      </c>
      <c r="K65" s="128" t="str">
        <f t="array" ref="K65">IFERROR(INDEX('Mr Sandeep Kumar'!K:K,MATCH($B65,'Mr Sandeep Kumar'!$B:$B,0)),IFERROR(INDEX('Mr Manu Vikraman'!K:K,MATCH($B65,'Mr Manu Vikraman'!$B:$B,0)),""))</f>
        <v/>
      </c>
      <c r="L65" s="128" t="str">
        <f t="array" ref="L65">IFERROR(INDEX('Mr Sandeep Kumar'!L:L,MATCH($B65,'Mr Sandeep Kumar'!$B:$B,0)),IFERROR(INDEX('Mr Manu Vikraman'!L:L,MATCH($B65,'Mr Manu Vikraman'!$B:$B,0)),""))</f>
        <v/>
      </c>
      <c r="M65" s="128" t="str">
        <f t="array" ref="M65">IFERROR(INDEX('Mr Sandeep Kumar'!M:M,MATCH($B65,'Mr Sandeep Kumar'!$B:$B,0)),IFERROR(INDEX('Mr Manu Vikraman'!M:M,MATCH($B65,'Mr Manu Vikraman'!$B:$B,0)),""))</f>
        <v/>
      </c>
      <c r="N65" s="128" t="str">
        <f t="array" ref="N65">IFERROR(INDEX('Mr Sandeep Kumar'!N:N,MATCH($B65,'Mr Sandeep Kumar'!$B:$B,0)),IFERROR(INDEX('Mr Manu Vikraman'!N:N,MATCH($B65,'Mr Manu Vikraman'!$B:$B,0)),""))</f>
        <v/>
      </c>
      <c r="O65" s="128" t="str">
        <f t="array" ref="O65">IFERROR(INDEX('Mr Sandeep Kumar'!O:O,MATCH($B65,'Mr Sandeep Kumar'!$B:$B,0)),IFERROR(INDEX('Mr Manu Vikraman'!O:O,MATCH($B65,'Mr Manu Vikraman'!$B:$B,0)),""))</f>
        <v/>
      </c>
      <c r="P65" s="128" t="str">
        <f t="array" ref="P65">IFERROR(INDEX('Mr Sandeep Kumar'!P:P,MATCH($B65,'Mr Sandeep Kumar'!$B:$B,0)),IFERROR(INDEX('Mr Manu Vikraman'!P:P,MATCH($B65,'Mr Manu Vikraman'!$B:$B,0)),""))</f>
        <v/>
      </c>
      <c r="Q65" s="129">
        <f t="shared" si="1"/>
        <v>0</v>
      </c>
      <c r="R65" s="130">
        <f t="shared" si="2"/>
        <v>0</v>
      </c>
      <c r="S65" s="131" t="str">
        <f t="shared" si="3"/>
        <v>D</v>
      </c>
      <c r="T65" s="131" t="str">
        <f t="shared" si="4"/>
        <v>Not Started</v>
      </c>
      <c r="U65" s="132"/>
    </row>
    <row r="66" ht="21.75" customHeight="1">
      <c r="A66" s="125">
        <v>60.0</v>
      </c>
      <c r="B66" s="96" t="s">
        <v>352</v>
      </c>
      <c r="C66" s="97" t="s">
        <v>353</v>
      </c>
      <c r="D66" s="97" t="s">
        <v>354</v>
      </c>
      <c r="E66" s="126"/>
      <c r="F66" s="127"/>
      <c r="G66" s="128" t="str">
        <f t="array" ref="G66">IFERROR(INDEX('Mr Sandeep Kumar'!G:G,MATCH($B66,'Mr Sandeep Kumar'!$B:$B,0)),IFERROR(INDEX('Mr Manu Vikraman'!G:G,MATCH($B66,'Mr Manu Vikraman'!$B:$B,0)),""))</f>
        <v/>
      </c>
      <c r="H66" s="128" t="str">
        <f t="array" ref="H66">IFERROR(INDEX('Mr Sandeep Kumar'!H:H,MATCH($B66,'Mr Sandeep Kumar'!$B:$B,0)),IFERROR(INDEX('Mr Manu Vikraman'!H:H,MATCH($B66,'Mr Manu Vikraman'!$B:$B,0)),""))</f>
        <v/>
      </c>
      <c r="I66" s="128" t="str">
        <f t="array" ref="I66">IFERROR(INDEX('Mr Sandeep Kumar'!I:I,MATCH($B66,'Mr Sandeep Kumar'!$B:$B,0)),IFERROR(INDEX('Mr Manu Vikraman'!I:I,MATCH($B66,'Mr Manu Vikraman'!$B:$B,0)),""))</f>
        <v/>
      </c>
      <c r="J66" s="128" t="str">
        <f t="array" ref="J66">IFERROR(INDEX('Mr Sandeep Kumar'!J:J,MATCH($B66,'Mr Sandeep Kumar'!$B:$B,0)),IFERROR(INDEX('Mr Manu Vikraman'!J:J,MATCH($B66,'Mr Manu Vikraman'!$B:$B,0)),""))</f>
        <v/>
      </c>
      <c r="K66" s="128" t="str">
        <f t="array" ref="K66">IFERROR(INDEX('Mr Sandeep Kumar'!K:K,MATCH($B66,'Mr Sandeep Kumar'!$B:$B,0)),IFERROR(INDEX('Mr Manu Vikraman'!K:K,MATCH($B66,'Mr Manu Vikraman'!$B:$B,0)),""))</f>
        <v/>
      </c>
      <c r="L66" s="128" t="str">
        <f t="array" ref="L66">IFERROR(INDEX('Mr Sandeep Kumar'!L:L,MATCH($B66,'Mr Sandeep Kumar'!$B:$B,0)),IFERROR(INDEX('Mr Manu Vikraman'!L:L,MATCH($B66,'Mr Manu Vikraman'!$B:$B,0)),""))</f>
        <v/>
      </c>
      <c r="M66" s="128" t="str">
        <f t="array" ref="M66">IFERROR(INDEX('Mr Sandeep Kumar'!M:M,MATCH($B66,'Mr Sandeep Kumar'!$B:$B,0)),IFERROR(INDEX('Mr Manu Vikraman'!M:M,MATCH($B66,'Mr Manu Vikraman'!$B:$B,0)),""))</f>
        <v/>
      </c>
      <c r="N66" s="128" t="str">
        <f t="array" ref="N66">IFERROR(INDEX('Mr Sandeep Kumar'!N:N,MATCH($B66,'Mr Sandeep Kumar'!$B:$B,0)),IFERROR(INDEX('Mr Manu Vikraman'!N:N,MATCH($B66,'Mr Manu Vikraman'!$B:$B,0)),""))</f>
        <v/>
      </c>
      <c r="O66" s="128" t="str">
        <f t="array" ref="O66">IFERROR(INDEX('Mr Sandeep Kumar'!O:O,MATCH($B66,'Mr Sandeep Kumar'!$B:$B,0)),IFERROR(INDEX('Mr Manu Vikraman'!O:O,MATCH($B66,'Mr Manu Vikraman'!$B:$B,0)),""))</f>
        <v/>
      </c>
      <c r="P66" s="128" t="str">
        <f t="array" ref="P66">IFERROR(INDEX('Mr Sandeep Kumar'!P:P,MATCH($B66,'Mr Sandeep Kumar'!$B:$B,0)),IFERROR(INDEX('Mr Manu Vikraman'!P:P,MATCH($B66,'Mr Manu Vikraman'!$B:$B,0)),""))</f>
        <v/>
      </c>
      <c r="Q66" s="129">
        <f t="shared" si="1"/>
        <v>0</v>
      </c>
      <c r="R66" s="130">
        <f t="shared" si="2"/>
        <v>0</v>
      </c>
      <c r="S66" s="131" t="str">
        <f t="shared" si="3"/>
        <v>D</v>
      </c>
      <c r="T66" s="131" t="str">
        <f t="shared" si="4"/>
        <v>Not Started</v>
      </c>
      <c r="U66" s="132"/>
    </row>
    <row r="67" ht="21.75" customHeight="1">
      <c r="A67" s="125">
        <v>61.0</v>
      </c>
      <c r="B67" s="96" t="s">
        <v>355</v>
      </c>
      <c r="C67" s="97" t="s">
        <v>356</v>
      </c>
      <c r="D67" s="97" t="s">
        <v>357</v>
      </c>
      <c r="E67" s="126"/>
      <c r="F67" s="127"/>
      <c r="G67" s="128" t="str">
        <f t="array" ref="G67">IFERROR(INDEX('Mr Sandeep Kumar'!G:G,MATCH($B67,'Mr Sandeep Kumar'!$B:$B,0)),IFERROR(INDEX('Mr Manu Vikraman'!G:G,MATCH($B67,'Mr Manu Vikraman'!$B:$B,0)),""))</f>
        <v/>
      </c>
      <c r="H67" s="128" t="str">
        <f t="array" ref="H67">IFERROR(INDEX('Mr Sandeep Kumar'!H:H,MATCH($B67,'Mr Sandeep Kumar'!$B:$B,0)),IFERROR(INDEX('Mr Manu Vikraman'!H:H,MATCH($B67,'Mr Manu Vikraman'!$B:$B,0)),""))</f>
        <v/>
      </c>
      <c r="I67" s="128" t="str">
        <f t="array" ref="I67">IFERROR(INDEX('Mr Sandeep Kumar'!I:I,MATCH($B67,'Mr Sandeep Kumar'!$B:$B,0)),IFERROR(INDEX('Mr Manu Vikraman'!I:I,MATCH($B67,'Mr Manu Vikraman'!$B:$B,0)),""))</f>
        <v/>
      </c>
      <c r="J67" s="128" t="str">
        <f t="array" ref="J67">IFERROR(INDEX('Mr Sandeep Kumar'!J:J,MATCH($B67,'Mr Sandeep Kumar'!$B:$B,0)),IFERROR(INDEX('Mr Manu Vikraman'!J:J,MATCH($B67,'Mr Manu Vikraman'!$B:$B,0)),""))</f>
        <v/>
      </c>
      <c r="K67" s="128" t="str">
        <f t="array" ref="K67">IFERROR(INDEX('Mr Sandeep Kumar'!K:K,MATCH($B67,'Mr Sandeep Kumar'!$B:$B,0)),IFERROR(INDEX('Mr Manu Vikraman'!K:K,MATCH($B67,'Mr Manu Vikraman'!$B:$B,0)),""))</f>
        <v/>
      </c>
      <c r="L67" s="128" t="str">
        <f t="array" ref="L67">IFERROR(INDEX('Mr Sandeep Kumar'!L:L,MATCH($B67,'Mr Sandeep Kumar'!$B:$B,0)),IFERROR(INDEX('Mr Manu Vikraman'!L:L,MATCH($B67,'Mr Manu Vikraman'!$B:$B,0)),""))</f>
        <v/>
      </c>
      <c r="M67" s="128" t="str">
        <f t="array" ref="M67">IFERROR(INDEX('Mr Sandeep Kumar'!M:M,MATCH($B67,'Mr Sandeep Kumar'!$B:$B,0)),IFERROR(INDEX('Mr Manu Vikraman'!M:M,MATCH($B67,'Mr Manu Vikraman'!$B:$B,0)),""))</f>
        <v/>
      </c>
      <c r="N67" s="128" t="str">
        <f t="array" ref="N67">IFERROR(INDEX('Mr Sandeep Kumar'!N:N,MATCH($B67,'Mr Sandeep Kumar'!$B:$B,0)),IFERROR(INDEX('Mr Manu Vikraman'!N:N,MATCH($B67,'Mr Manu Vikraman'!$B:$B,0)),""))</f>
        <v/>
      </c>
      <c r="O67" s="128" t="str">
        <f t="array" ref="O67">IFERROR(INDEX('Mr Sandeep Kumar'!O:O,MATCH($B67,'Mr Sandeep Kumar'!$B:$B,0)),IFERROR(INDEX('Mr Manu Vikraman'!O:O,MATCH($B67,'Mr Manu Vikraman'!$B:$B,0)),""))</f>
        <v/>
      </c>
      <c r="P67" s="128" t="str">
        <f t="array" ref="P67">IFERROR(INDEX('Mr Sandeep Kumar'!P:P,MATCH($B67,'Mr Sandeep Kumar'!$B:$B,0)),IFERROR(INDEX('Mr Manu Vikraman'!P:P,MATCH($B67,'Mr Manu Vikraman'!$B:$B,0)),""))</f>
        <v/>
      </c>
      <c r="Q67" s="129">
        <f t="shared" si="1"/>
        <v>0</v>
      </c>
      <c r="R67" s="130">
        <f t="shared" si="2"/>
        <v>0</v>
      </c>
      <c r="S67" s="131" t="str">
        <f t="shared" si="3"/>
        <v>D</v>
      </c>
      <c r="T67" s="131" t="str">
        <f t="shared" si="4"/>
        <v>Not Started</v>
      </c>
      <c r="U67" s="132"/>
    </row>
    <row r="68" ht="21.75" customHeight="1">
      <c r="A68" s="125">
        <v>62.0</v>
      </c>
      <c r="B68" s="96" t="s">
        <v>359</v>
      </c>
      <c r="C68" s="97" t="s">
        <v>360</v>
      </c>
      <c r="D68" s="97" t="s">
        <v>361</v>
      </c>
      <c r="E68" s="126"/>
      <c r="F68" s="127"/>
      <c r="G68" s="128" t="str">
        <f t="array" ref="G68">IFERROR(INDEX('Mr Sandeep Kumar'!G:G,MATCH($B68,'Mr Sandeep Kumar'!$B:$B,0)),IFERROR(INDEX('Mr Manu Vikraman'!G:G,MATCH($B68,'Mr Manu Vikraman'!$B:$B,0)),""))</f>
        <v/>
      </c>
      <c r="H68" s="128" t="str">
        <f t="array" ref="H68">IFERROR(INDEX('Mr Sandeep Kumar'!H:H,MATCH($B68,'Mr Sandeep Kumar'!$B:$B,0)),IFERROR(INDEX('Mr Manu Vikraman'!H:H,MATCH($B68,'Mr Manu Vikraman'!$B:$B,0)),""))</f>
        <v/>
      </c>
      <c r="I68" s="128" t="str">
        <f t="array" ref="I68">IFERROR(INDEX('Mr Sandeep Kumar'!I:I,MATCH($B68,'Mr Sandeep Kumar'!$B:$B,0)),IFERROR(INDEX('Mr Manu Vikraman'!I:I,MATCH($B68,'Mr Manu Vikraman'!$B:$B,0)),""))</f>
        <v/>
      </c>
      <c r="J68" s="128" t="str">
        <f t="array" ref="J68">IFERROR(INDEX('Mr Sandeep Kumar'!J:J,MATCH($B68,'Mr Sandeep Kumar'!$B:$B,0)),IFERROR(INDEX('Mr Manu Vikraman'!J:J,MATCH($B68,'Mr Manu Vikraman'!$B:$B,0)),""))</f>
        <v/>
      </c>
      <c r="K68" s="128" t="str">
        <f t="array" ref="K68">IFERROR(INDEX('Mr Sandeep Kumar'!K:K,MATCH($B68,'Mr Sandeep Kumar'!$B:$B,0)),IFERROR(INDEX('Mr Manu Vikraman'!K:K,MATCH($B68,'Mr Manu Vikraman'!$B:$B,0)),""))</f>
        <v/>
      </c>
      <c r="L68" s="128" t="str">
        <f t="array" ref="L68">IFERROR(INDEX('Mr Sandeep Kumar'!L:L,MATCH($B68,'Mr Sandeep Kumar'!$B:$B,0)),IFERROR(INDEX('Mr Manu Vikraman'!L:L,MATCH($B68,'Mr Manu Vikraman'!$B:$B,0)),""))</f>
        <v/>
      </c>
      <c r="M68" s="128" t="str">
        <f t="array" ref="M68">IFERROR(INDEX('Mr Sandeep Kumar'!M:M,MATCH($B68,'Mr Sandeep Kumar'!$B:$B,0)),IFERROR(INDEX('Mr Manu Vikraman'!M:M,MATCH($B68,'Mr Manu Vikraman'!$B:$B,0)),""))</f>
        <v/>
      </c>
      <c r="N68" s="128" t="str">
        <f t="array" ref="N68">IFERROR(INDEX('Mr Sandeep Kumar'!N:N,MATCH($B68,'Mr Sandeep Kumar'!$B:$B,0)),IFERROR(INDEX('Mr Manu Vikraman'!N:N,MATCH($B68,'Mr Manu Vikraman'!$B:$B,0)),""))</f>
        <v/>
      </c>
      <c r="O68" s="128" t="str">
        <f t="array" ref="O68">IFERROR(INDEX('Mr Sandeep Kumar'!O:O,MATCH($B68,'Mr Sandeep Kumar'!$B:$B,0)),IFERROR(INDEX('Mr Manu Vikraman'!O:O,MATCH($B68,'Mr Manu Vikraman'!$B:$B,0)),""))</f>
        <v/>
      </c>
      <c r="P68" s="128" t="str">
        <f t="array" ref="P68">IFERROR(INDEX('Mr Sandeep Kumar'!P:P,MATCH($B68,'Mr Sandeep Kumar'!$B:$B,0)),IFERROR(INDEX('Mr Manu Vikraman'!P:P,MATCH($B68,'Mr Manu Vikraman'!$B:$B,0)),""))</f>
        <v/>
      </c>
      <c r="Q68" s="129">
        <f t="shared" si="1"/>
        <v>0</v>
      </c>
      <c r="R68" s="130">
        <f t="shared" si="2"/>
        <v>0</v>
      </c>
      <c r="S68" s="131" t="str">
        <f t="shared" si="3"/>
        <v>D</v>
      </c>
      <c r="T68" s="131" t="str">
        <f t="shared" si="4"/>
        <v>Not Started</v>
      </c>
      <c r="U68" s="132"/>
    </row>
    <row r="69" ht="21.75" customHeight="1">
      <c r="A69" s="125">
        <v>63.0</v>
      </c>
      <c r="B69" s="96" t="s">
        <v>362</v>
      </c>
      <c r="C69" s="97" t="s">
        <v>363</v>
      </c>
      <c r="D69" s="97" t="s">
        <v>364</v>
      </c>
      <c r="E69" s="126"/>
      <c r="F69" s="127"/>
      <c r="G69" s="128" t="str">
        <f t="array" ref="G69">IFERROR(INDEX('Mr Sandeep Kumar'!G:G,MATCH($B69,'Mr Sandeep Kumar'!$B:$B,0)),IFERROR(INDEX('Mr Manu Vikraman'!G:G,MATCH($B69,'Mr Manu Vikraman'!$B:$B,0)),""))</f>
        <v/>
      </c>
      <c r="H69" s="128" t="str">
        <f t="array" ref="H69">IFERROR(INDEX('Mr Sandeep Kumar'!H:H,MATCH($B69,'Mr Sandeep Kumar'!$B:$B,0)),IFERROR(INDEX('Mr Manu Vikraman'!H:H,MATCH($B69,'Mr Manu Vikraman'!$B:$B,0)),""))</f>
        <v/>
      </c>
      <c r="I69" s="128" t="str">
        <f t="array" ref="I69">IFERROR(INDEX('Mr Sandeep Kumar'!I:I,MATCH($B69,'Mr Sandeep Kumar'!$B:$B,0)),IFERROR(INDEX('Mr Manu Vikraman'!I:I,MATCH($B69,'Mr Manu Vikraman'!$B:$B,0)),""))</f>
        <v/>
      </c>
      <c r="J69" s="128" t="str">
        <f t="array" ref="J69">IFERROR(INDEX('Mr Sandeep Kumar'!J:J,MATCH($B69,'Mr Sandeep Kumar'!$B:$B,0)),IFERROR(INDEX('Mr Manu Vikraman'!J:J,MATCH($B69,'Mr Manu Vikraman'!$B:$B,0)),""))</f>
        <v/>
      </c>
      <c r="K69" s="128" t="str">
        <f t="array" ref="K69">IFERROR(INDEX('Mr Sandeep Kumar'!K:K,MATCH($B69,'Mr Sandeep Kumar'!$B:$B,0)),IFERROR(INDEX('Mr Manu Vikraman'!K:K,MATCH($B69,'Mr Manu Vikraman'!$B:$B,0)),""))</f>
        <v/>
      </c>
      <c r="L69" s="128" t="str">
        <f t="array" ref="L69">IFERROR(INDEX('Mr Sandeep Kumar'!L:L,MATCH($B69,'Mr Sandeep Kumar'!$B:$B,0)),IFERROR(INDEX('Mr Manu Vikraman'!L:L,MATCH($B69,'Mr Manu Vikraman'!$B:$B,0)),""))</f>
        <v/>
      </c>
      <c r="M69" s="128" t="str">
        <f t="array" ref="M69">IFERROR(INDEX('Mr Sandeep Kumar'!M:M,MATCH($B69,'Mr Sandeep Kumar'!$B:$B,0)),IFERROR(INDEX('Mr Manu Vikraman'!M:M,MATCH($B69,'Mr Manu Vikraman'!$B:$B,0)),""))</f>
        <v/>
      </c>
      <c r="N69" s="128" t="str">
        <f t="array" ref="N69">IFERROR(INDEX('Mr Sandeep Kumar'!N:N,MATCH($B69,'Mr Sandeep Kumar'!$B:$B,0)),IFERROR(INDEX('Mr Manu Vikraman'!N:N,MATCH($B69,'Mr Manu Vikraman'!$B:$B,0)),""))</f>
        <v/>
      </c>
      <c r="O69" s="128" t="str">
        <f t="array" ref="O69">IFERROR(INDEX('Mr Sandeep Kumar'!O:O,MATCH($B69,'Mr Sandeep Kumar'!$B:$B,0)),IFERROR(INDEX('Mr Manu Vikraman'!O:O,MATCH($B69,'Mr Manu Vikraman'!$B:$B,0)),""))</f>
        <v/>
      </c>
      <c r="P69" s="128" t="str">
        <f t="array" ref="P69">IFERROR(INDEX('Mr Sandeep Kumar'!P:P,MATCH($B69,'Mr Sandeep Kumar'!$B:$B,0)),IFERROR(INDEX('Mr Manu Vikraman'!P:P,MATCH($B69,'Mr Manu Vikraman'!$B:$B,0)),""))</f>
        <v/>
      </c>
      <c r="Q69" s="129">
        <f t="shared" si="1"/>
        <v>0</v>
      </c>
      <c r="R69" s="130">
        <f t="shared" si="2"/>
        <v>0</v>
      </c>
      <c r="S69" s="131" t="str">
        <f t="shared" si="3"/>
        <v>D</v>
      </c>
      <c r="T69" s="131" t="str">
        <f t="shared" si="4"/>
        <v>Not Started</v>
      </c>
      <c r="U69" s="132"/>
    </row>
    <row r="70" ht="21.75" customHeight="1">
      <c r="A70" s="125">
        <v>64.0</v>
      </c>
      <c r="B70" s="96" t="s">
        <v>365</v>
      </c>
      <c r="C70" s="97" t="s">
        <v>366</v>
      </c>
      <c r="D70" s="97" t="s">
        <v>367</v>
      </c>
      <c r="E70" s="126"/>
      <c r="F70" s="127"/>
      <c r="G70" s="128" t="str">
        <f t="array" ref="G70">IFERROR(INDEX('Mr Sandeep Kumar'!G:G,MATCH($B70,'Mr Sandeep Kumar'!$B:$B,0)),IFERROR(INDEX('Mr Manu Vikraman'!G:G,MATCH($B70,'Mr Manu Vikraman'!$B:$B,0)),""))</f>
        <v/>
      </c>
      <c r="H70" s="128" t="str">
        <f t="array" ref="H70">IFERROR(INDEX('Mr Sandeep Kumar'!H:H,MATCH($B70,'Mr Sandeep Kumar'!$B:$B,0)),IFERROR(INDEX('Mr Manu Vikraman'!H:H,MATCH($B70,'Mr Manu Vikraman'!$B:$B,0)),""))</f>
        <v/>
      </c>
      <c r="I70" s="128" t="str">
        <f t="array" ref="I70">IFERROR(INDEX('Mr Sandeep Kumar'!I:I,MATCH($B70,'Mr Sandeep Kumar'!$B:$B,0)),IFERROR(INDEX('Mr Manu Vikraman'!I:I,MATCH($B70,'Mr Manu Vikraman'!$B:$B,0)),""))</f>
        <v/>
      </c>
      <c r="J70" s="128" t="str">
        <f t="array" ref="J70">IFERROR(INDEX('Mr Sandeep Kumar'!J:J,MATCH($B70,'Mr Sandeep Kumar'!$B:$B,0)),IFERROR(INDEX('Mr Manu Vikraman'!J:J,MATCH($B70,'Mr Manu Vikraman'!$B:$B,0)),""))</f>
        <v/>
      </c>
      <c r="K70" s="128" t="str">
        <f t="array" ref="K70">IFERROR(INDEX('Mr Sandeep Kumar'!K:K,MATCH($B70,'Mr Sandeep Kumar'!$B:$B,0)),IFERROR(INDEX('Mr Manu Vikraman'!K:K,MATCH($B70,'Mr Manu Vikraman'!$B:$B,0)),""))</f>
        <v/>
      </c>
      <c r="L70" s="128" t="str">
        <f t="array" ref="L70">IFERROR(INDEX('Mr Sandeep Kumar'!L:L,MATCH($B70,'Mr Sandeep Kumar'!$B:$B,0)),IFERROR(INDEX('Mr Manu Vikraman'!L:L,MATCH($B70,'Mr Manu Vikraman'!$B:$B,0)),""))</f>
        <v/>
      </c>
      <c r="M70" s="128" t="str">
        <f t="array" ref="M70">IFERROR(INDEX('Mr Sandeep Kumar'!M:M,MATCH($B70,'Mr Sandeep Kumar'!$B:$B,0)),IFERROR(INDEX('Mr Manu Vikraman'!M:M,MATCH($B70,'Mr Manu Vikraman'!$B:$B,0)),""))</f>
        <v/>
      </c>
      <c r="N70" s="128" t="str">
        <f t="array" ref="N70">IFERROR(INDEX('Mr Sandeep Kumar'!N:N,MATCH($B70,'Mr Sandeep Kumar'!$B:$B,0)),IFERROR(INDEX('Mr Manu Vikraman'!N:N,MATCH($B70,'Mr Manu Vikraman'!$B:$B,0)),""))</f>
        <v/>
      </c>
      <c r="O70" s="128" t="str">
        <f t="array" ref="O70">IFERROR(INDEX('Mr Sandeep Kumar'!O:O,MATCH($B70,'Mr Sandeep Kumar'!$B:$B,0)),IFERROR(INDEX('Mr Manu Vikraman'!O:O,MATCH($B70,'Mr Manu Vikraman'!$B:$B,0)),""))</f>
        <v/>
      </c>
      <c r="P70" s="128" t="str">
        <f t="array" ref="P70">IFERROR(INDEX('Mr Sandeep Kumar'!P:P,MATCH($B70,'Mr Sandeep Kumar'!$B:$B,0)),IFERROR(INDEX('Mr Manu Vikraman'!P:P,MATCH($B70,'Mr Manu Vikraman'!$B:$B,0)),""))</f>
        <v/>
      </c>
      <c r="Q70" s="129">
        <f t="shared" si="1"/>
        <v>0</v>
      </c>
      <c r="R70" s="130">
        <f t="shared" si="2"/>
        <v>0</v>
      </c>
      <c r="S70" s="131" t="str">
        <f t="shared" si="3"/>
        <v>D</v>
      </c>
      <c r="T70" s="131" t="str">
        <f t="shared" si="4"/>
        <v>Not Started</v>
      </c>
      <c r="U70" s="132"/>
    </row>
    <row r="71" ht="21.75" customHeight="1">
      <c r="A71" s="125">
        <v>65.0</v>
      </c>
      <c r="B71" s="96" t="s">
        <v>368</v>
      </c>
      <c r="C71" s="97" t="s">
        <v>369</v>
      </c>
      <c r="D71" s="97" t="s">
        <v>370</v>
      </c>
      <c r="E71" s="126"/>
      <c r="F71" s="127"/>
      <c r="G71" s="128" t="str">
        <f t="array" ref="G71">IFERROR(INDEX('Mr Sandeep Kumar'!G:G,MATCH($B71,'Mr Sandeep Kumar'!$B:$B,0)),IFERROR(INDEX('Mr Manu Vikraman'!G:G,MATCH($B71,'Mr Manu Vikraman'!$B:$B,0)),""))</f>
        <v/>
      </c>
      <c r="H71" s="128" t="str">
        <f t="array" ref="H71">IFERROR(INDEX('Mr Sandeep Kumar'!H:H,MATCH($B71,'Mr Sandeep Kumar'!$B:$B,0)),IFERROR(INDEX('Mr Manu Vikraman'!H:H,MATCH($B71,'Mr Manu Vikraman'!$B:$B,0)),""))</f>
        <v/>
      </c>
      <c r="I71" s="128" t="str">
        <f t="array" ref="I71">IFERROR(INDEX('Mr Sandeep Kumar'!I:I,MATCH($B71,'Mr Sandeep Kumar'!$B:$B,0)),IFERROR(INDEX('Mr Manu Vikraman'!I:I,MATCH($B71,'Mr Manu Vikraman'!$B:$B,0)),""))</f>
        <v/>
      </c>
      <c r="J71" s="128" t="str">
        <f t="array" ref="J71">IFERROR(INDEX('Mr Sandeep Kumar'!J:J,MATCH($B71,'Mr Sandeep Kumar'!$B:$B,0)),IFERROR(INDEX('Mr Manu Vikraman'!J:J,MATCH($B71,'Mr Manu Vikraman'!$B:$B,0)),""))</f>
        <v/>
      </c>
      <c r="K71" s="128" t="str">
        <f t="array" ref="K71">IFERROR(INDEX('Mr Sandeep Kumar'!K:K,MATCH($B71,'Mr Sandeep Kumar'!$B:$B,0)),IFERROR(INDEX('Mr Manu Vikraman'!K:K,MATCH($B71,'Mr Manu Vikraman'!$B:$B,0)),""))</f>
        <v/>
      </c>
      <c r="L71" s="128" t="str">
        <f t="array" ref="L71">IFERROR(INDEX('Mr Sandeep Kumar'!L:L,MATCH($B71,'Mr Sandeep Kumar'!$B:$B,0)),IFERROR(INDEX('Mr Manu Vikraman'!L:L,MATCH($B71,'Mr Manu Vikraman'!$B:$B,0)),""))</f>
        <v/>
      </c>
      <c r="M71" s="128" t="str">
        <f t="array" ref="M71">IFERROR(INDEX('Mr Sandeep Kumar'!M:M,MATCH($B71,'Mr Sandeep Kumar'!$B:$B,0)),IFERROR(INDEX('Mr Manu Vikraman'!M:M,MATCH($B71,'Mr Manu Vikraman'!$B:$B,0)),""))</f>
        <v/>
      </c>
      <c r="N71" s="128" t="str">
        <f t="array" ref="N71">IFERROR(INDEX('Mr Sandeep Kumar'!N:N,MATCH($B71,'Mr Sandeep Kumar'!$B:$B,0)),IFERROR(INDEX('Mr Manu Vikraman'!N:N,MATCH($B71,'Mr Manu Vikraman'!$B:$B,0)),""))</f>
        <v/>
      </c>
      <c r="O71" s="128" t="str">
        <f t="array" ref="O71">IFERROR(INDEX('Mr Sandeep Kumar'!O:O,MATCH($B71,'Mr Sandeep Kumar'!$B:$B,0)),IFERROR(INDEX('Mr Manu Vikraman'!O:O,MATCH($B71,'Mr Manu Vikraman'!$B:$B,0)),""))</f>
        <v/>
      </c>
      <c r="P71" s="128" t="str">
        <f t="array" ref="P71">IFERROR(INDEX('Mr Sandeep Kumar'!P:P,MATCH($B71,'Mr Sandeep Kumar'!$B:$B,0)),IFERROR(INDEX('Mr Manu Vikraman'!P:P,MATCH($B71,'Mr Manu Vikraman'!$B:$B,0)),""))</f>
        <v/>
      </c>
      <c r="Q71" s="129">
        <f t="shared" si="1"/>
        <v>0</v>
      </c>
      <c r="R71" s="130">
        <f t="shared" si="2"/>
        <v>0</v>
      </c>
      <c r="S71" s="131" t="str">
        <f t="shared" si="3"/>
        <v>D</v>
      </c>
      <c r="T71" s="131" t="str">
        <f t="shared" si="4"/>
        <v>Not Started</v>
      </c>
      <c r="U71" s="132"/>
    </row>
    <row r="72" ht="21.75" customHeight="1">
      <c r="A72" s="125">
        <v>66.0</v>
      </c>
      <c r="B72" s="96" t="s">
        <v>371</v>
      </c>
      <c r="C72" s="97" t="s">
        <v>372</v>
      </c>
      <c r="D72" s="97" t="s">
        <v>373</v>
      </c>
      <c r="E72" s="126"/>
      <c r="F72" s="127"/>
      <c r="G72" s="128" t="str">
        <f t="array" ref="G72">IFERROR(INDEX('Mr Sandeep Kumar'!G:G,MATCH($B72,'Mr Sandeep Kumar'!$B:$B,0)),IFERROR(INDEX('Mr Manu Vikraman'!G:G,MATCH($B72,'Mr Manu Vikraman'!$B:$B,0)),""))</f>
        <v/>
      </c>
      <c r="H72" s="128" t="str">
        <f t="array" ref="H72">IFERROR(INDEX('Mr Sandeep Kumar'!H:H,MATCH($B72,'Mr Sandeep Kumar'!$B:$B,0)),IFERROR(INDEX('Mr Manu Vikraman'!H:H,MATCH($B72,'Mr Manu Vikraman'!$B:$B,0)),""))</f>
        <v/>
      </c>
      <c r="I72" s="128" t="str">
        <f t="array" ref="I72">IFERROR(INDEX('Mr Sandeep Kumar'!I:I,MATCH($B72,'Mr Sandeep Kumar'!$B:$B,0)),IFERROR(INDEX('Mr Manu Vikraman'!I:I,MATCH($B72,'Mr Manu Vikraman'!$B:$B,0)),""))</f>
        <v/>
      </c>
      <c r="J72" s="128" t="str">
        <f t="array" ref="J72">IFERROR(INDEX('Mr Sandeep Kumar'!J:J,MATCH($B72,'Mr Sandeep Kumar'!$B:$B,0)),IFERROR(INDEX('Mr Manu Vikraman'!J:J,MATCH($B72,'Mr Manu Vikraman'!$B:$B,0)),""))</f>
        <v/>
      </c>
      <c r="K72" s="128" t="str">
        <f t="array" ref="K72">IFERROR(INDEX('Mr Sandeep Kumar'!K:K,MATCH($B72,'Mr Sandeep Kumar'!$B:$B,0)),IFERROR(INDEX('Mr Manu Vikraman'!K:K,MATCH($B72,'Mr Manu Vikraman'!$B:$B,0)),""))</f>
        <v/>
      </c>
      <c r="L72" s="128" t="str">
        <f t="array" ref="L72">IFERROR(INDEX('Mr Sandeep Kumar'!L:L,MATCH($B72,'Mr Sandeep Kumar'!$B:$B,0)),IFERROR(INDEX('Mr Manu Vikraman'!L:L,MATCH($B72,'Mr Manu Vikraman'!$B:$B,0)),""))</f>
        <v/>
      </c>
      <c r="M72" s="128" t="str">
        <f t="array" ref="M72">IFERROR(INDEX('Mr Sandeep Kumar'!M:M,MATCH($B72,'Mr Sandeep Kumar'!$B:$B,0)),IFERROR(INDEX('Mr Manu Vikraman'!M:M,MATCH($B72,'Mr Manu Vikraman'!$B:$B,0)),""))</f>
        <v/>
      </c>
      <c r="N72" s="128" t="str">
        <f t="array" ref="N72">IFERROR(INDEX('Mr Sandeep Kumar'!N:N,MATCH($B72,'Mr Sandeep Kumar'!$B:$B,0)),IFERROR(INDEX('Mr Manu Vikraman'!N:N,MATCH($B72,'Mr Manu Vikraman'!$B:$B,0)),""))</f>
        <v/>
      </c>
      <c r="O72" s="128" t="str">
        <f t="array" ref="O72">IFERROR(INDEX('Mr Sandeep Kumar'!O:O,MATCH($B72,'Mr Sandeep Kumar'!$B:$B,0)),IFERROR(INDEX('Mr Manu Vikraman'!O:O,MATCH($B72,'Mr Manu Vikraman'!$B:$B,0)),""))</f>
        <v/>
      </c>
      <c r="P72" s="128" t="str">
        <f t="array" ref="P72">IFERROR(INDEX('Mr Sandeep Kumar'!P:P,MATCH($B72,'Mr Sandeep Kumar'!$B:$B,0)),IFERROR(INDEX('Mr Manu Vikraman'!P:P,MATCH($B72,'Mr Manu Vikraman'!$B:$B,0)),""))</f>
        <v/>
      </c>
      <c r="Q72" s="129">
        <f t="shared" si="1"/>
        <v>0</v>
      </c>
      <c r="R72" s="130">
        <f t="shared" si="2"/>
        <v>0</v>
      </c>
      <c r="S72" s="131" t="str">
        <f t="shared" si="3"/>
        <v>D</v>
      </c>
      <c r="T72" s="131" t="str">
        <f t="shared" si="4"/>
        <v>Not Started</v>
      </c>
      <c r="U72" s="132"/>
    </row>
    <row r="73" ht="21.75" customHeight="1">
      <c r="A73" s="125">
        <v>67.0</v>
      </c>
      <c r="B73" s="96" t="s">
        <v>374</v>
      </c>
      <c r="C73" s="97" t="s">
        <v>375</v>
      </c>
      <c r="D73" s="97" t="s">
        <v>376</v>
      </c>
      <c r="E73" s="126"/>
      <c r="F73" s="127"/>
      <c r="G73" s="128" t="str">
        <f t="array" ref="G73">IFERROR(INDEX('Mr Sandeep Kumar'!G:G,MATCH($B73,'Mr Sandeep Kumar'!$B:$B,0)),IFERROR(INDEX('Mr Manu Vikraman'!G:G,MATCH($B73,'Mr Manu Vikraman'!$B:$B,0)),""))</f>
        <v/>
      </c>
      <c r="H73" s="128" t="str">
        <f t="array" ref="H73">IFERROR(INDEX('Mr Sandeep Kumar'!H:H,MATCH($B73,'Mr Sandeep Kumar'!$B:$B,0)),IFERROR(INDEX('Mr Manu Vikraman'!H:H,MATCH($B73,'Mr Manu Vikraman'!$B:$B,0)),""))</f>
        <v/>
      </c>
      <c r="I73" s="128" t="str">
        <f t="array" ref="I73">IFERROR(INDEX('Mr Sandeep Kumar'!I:I,MATCH($B73,'Mr Sandeep Kumar'!$B:$B,0)),IFERROR(INDEX('Mr Manu Vikraman'!I:I,MATCH($B73,'Mr Manu Vikraman'!$B:$B,0)),""))</f>
        <v/>
      </c>
      <c r="J73" s="128" t="str">
        <f t="array" ref="J73">IFERROR(INDEX('Mr Sandeep Kumar'!J:J,MATCH($B73,'Mr Sandeep Kumar'!$B:$B,0)),IFERROR(INDEX('Mr Manu Vikraman'!J:J,MATCH($B73,'Mr Manu Vikraman'!$B:$B,0)),""))</f>
        <v/>
      </c>
      <c r="K73" s="128" t="str">
        <f t="array" ref="K73">IFERROR(INDEX('Mr Sandeep Kumar'!K:K,MATCH($B73,'Mr Sandeep Kumar'!$B:$B,0)),IFERROR(INDEX('Mr Manu Vikraman'!K:K,MATCH($B73,'Mr Manu Vikraman'!$B:$B,0)),""))</f>
        <v/>
      </c>
      <c r="L73" s="128" t="str">
        <f t="array" ref="L73">IFERROR(INDEX('Mr Sandeep Kumar'!L:L,MATCH($B73,'Mr Sandeep Kumar'!$B:$B,0)),IFERROR(INDEX('Mr Manu Vikraman'!L:L,MATCH($B73,'Mr Manu Vikraman'!$B:$B,0)),""))</f>
        <v/>
      </c>
      <c r="M73" s="128" t="str">
        <f t="array" ref="M73">IFERROR(INDEX('Mr Sandeep Kumar'!M:M,MATCH($B73,'Mr Sandeep Kumar'!$B:$B,0)),IFERROR(INDEX('Mr Manu Vikraman'!M:M,MATCH($B73,'Mr Manu Vikraman'!$B:$B,0)),""))</f>
        <v/>
      </c>
      <c r="N73" s="128" t="str">
        <f t="array" ref="N73">IFERROR(INDEX('Mr Sandeep Kumar'!N:N,MATCH($B73,'Mr Sandeep Kumar'!$B:$B,0)),IFERROR(INDEX('Mr Manu Vikraman'!N:N,MATCH($B73,'Mr Manu Vikraman'!$B:$B,0)),""))</f>
        <v/>
      </c>
      <c r="O73" s="128" t="str">
        <f t="array" ref="O73">IFERROR(INDEX('Mr Sandeep Kumar'!O:O,MATCH($B73,'Mr Sandeep Kumar'!$B:$B,0)),IFERROR(INDEX('Mr Manu Vikraman'!O:O,MATCH($B73,'Mr Manu Vikraman'!$B:$B,0)),""))</f>
        <v/>
      </c>
      <c r="P73" s="128" t="str">
        <f t="array" ref="P73">IFERROR(INDEX('Mr Sandeep Kumar'!P:P,MATCH($B73,'Mr Sandeep Kumar'!$B:$B,0)),IFERROR(INDEX('Mr Manu Vikraman'!P:P,MATCH($B73,'Mr Manu Vikraman'!$B:$B,0)),""))</f>
        <v/>
      </c>
      <c r="Q73" s="129">
        <f t="shared" si="1"/>
        <v>0</v>
      </c>
      <c r="R73" s="130">
        <f t="shared" si="2"/>
        <v>0</v>
      </c>
      <c r="S73" s="131" t="str">
        <f t="shared" si="3"/>
        <v>D</v>
      </c>
      <c r="T73" s="131" t="str">
        <f t="shared" si="4"/>
        <v>Not Started</v>
      </c>
      <c r="U73" s="132"/>
    </row>
    <row r="74" ht="21.75" customHeight="1">
      <c r="A74" s="125">
        <v>68.0</v>
      </c>
      <c r="B74" s="96" t="s">
        <v>377</v>
      </c>
      <c r="C74" s="97" t="s">
        <v>378</v>
      </c>
      <c r="D74" s="97" t="s">
        <v>379</v>
      </c>
      <c r="E74" s="126"/>
      <c r="F74" s="127"/>
      <c r="G74" s="128" t="str">
        <f t="array" ref="G74">IFERROR(INDEX('Mr Sandeep Kumar'!G:G,MATCH($B74,'Mr Sandeep Kumar'!$B:$B,0)),IFERROR(INDEX('Mr Manu Vikraman'!G:G,MATCH($B74,'Mr Manu Vikraman'!$B:$B,0)),""))</f>
        <v/>
      </c>
      <c r="H74" s="128" t="str">
        <f t="array" ref="H74">IFERROR(INDEX('Mr Sandeep Kumar'!H:H,MATCH($B74,'Mr Sandeep Kumar'!$B:$B,0)),IFERROR(INDEX('Mr Manu Vikraman'!H:H,MATCH($B74,'Mr Manu Vikraman'!$B:$B,0)),""))</f>
        <v/>
      </c>
      <c r="I74" s="128" t="str">
        <f t="array" ref="I74">IFERROR(INDEX('Mr Sandeep Kumar'!I:I,MATCH($B74,'Mr Sandeep Kumar'!$B:$B,0)),IFERROR(INDEX('Mr Manu Vikraman'!I:I,MATCH($B74,'Mr Manu Vikraman'!$B:$B,0)),""))</f>
        <v/>
      </c>
      <c r="J74" s="128" t="str">
        <f t="array" ref="J74">IFERROR(INDEX('Mr Sandeep Kumar'!J:J,MATCH($B74,'Mr Sandeep Kumar'!$B:$B,0)),IFERROR(INDEX('Mr Manu Vikraman'!J:J,MATCH($B74,'Mr Manu Vikraman'!$B:$B,0)),""))</f>
        <v/>
      </c>
      <c r="K74" s="128" t="str">
        <f t="array" ref="K74">IFERROR(INDEX('Mr Sandeep Kumar'!K:K,MATCH($B74,'Mr Sandeep Kumar'!$B:$B,0)),IFERROR(INDEX('Mr Manu Vikraman'!K:K,MATCH($B74,'Mr Manu Vikraman'!$B:$B,0)),""))</f>
        <v/>
      </c>
      <c r="L74" s="128" t="str">
        <f t="array" ref="L74">IFERROR(INDEX('Mr Sandeep Kumar'!L:L,MATCH($B74,'Mr Sandeep Kumar'!$B:$B,0)),IFERROR(INDEX('Mr Manu Vikraman'!L:L,MATCH($B74,'Mr Manu Vikraman'!$B:$B,0)),""))</f>
        <v/>
      </c>
      <c r="M74" s="128" t="str">
        <f t="array" ref="M74">IFERROR(INDEX('Mr Sandeep Kumar'!M:M,MATCH($B74,'Mr Sandeep Kumar'!$B:$B,0)),IFERROR(INDEX('Mr Manu Vikraman'!M:M,MATCH($B74,'Mr Manu Vikraman'!$B:$B,0)),""))</f>
        <v/>
      </c>
      <c r="N74" s="128" t="str">
        <f t="array" ref="N74">IFERROR(INDEX('Mr Sandeep Kumar'!N:N,MATCH($B74,'Mr Sandeep Kumar'!$B:$B,0)),IFERROR(INDEX('Mr Manu Vikraman'!N:N,MATCH($B74,'Mr Manu Vikraman'!$B:$B,0)),""))</f>
        <v/>
      </c>
      <c r="O74" s="128" t="str">
        <f t="array" ref="O74">IFERROR(INDEX('Mr Sandeep Kumar'!O:O,MATCH($B74,'Mr Sandeep Kumar'!$B:$B,0)),IFERROR(INDEX('Mr Manu Vikraman'!O:O,MATCH($B74,'Mr Manu Vikraman'!$B:$B,0)),""))</f>
        <v/>
      </c>
      <c r="P74" s="128" t="str">
        <f t="array" ref="P74">IFERROR(INDEX('Mr Sandeep Kumar'!P:P,MATCH($B74,'Mr Sandeep Kumar'!$B:$B,0)),IFERROR(INDEX('Mr Manu Vikraman'!P:P,MATCH($B74,'Mr Manu Vikraman'!$B:$B,0)),""))</f>
        <v/>
      </c>
      <c r="Q74" s="129">
        <f t="shared" si="1"/>
        <v>0</v>
      </c>
      <c r="R74" s="130">
        <f t="shared" si="2"/>
        <v>0</v>
      </c>
      <c r="S74" s="131" t="str">
        <f t="shared" si="3"/>
        <v>D</v>
      </c>
      <c r="T74" s="131" t="str">
        <f t="shared" si="4"/>
        <v>Not Started</v>
      </c>
      <c r="U74" s="132"/>
    </row>
    <row r="75" ht="21.75" customHeight="1">
      <c r="A75" s="125">
        <v>69.0</v>
      </c>
      <c r="B75" s="96" t="s">
        <v>380</v>
      </c>
      <c r="C75" s="97" t="s">
        <v>381</v>
      </c>
      <c r="D75" s="97" t="s">
        <v>382</v>
      </c>
      <c r="E75" s="126"/>
      <c r="F75" s="127"/>
      <c r="G75" s="128" t="str">
        <f t="array" ref="G75">IFERROR(INDEX('Mr Sandeep Kumar'!G:G,MATCH($B75,'Mr Sandeep Kumar'!$B:$B,0)),IFERROR(INDEX('Mr Manu Vikraman'!G:G,MATCH($B75,'Mr Manu Vikraman'!$B:$B,0)),""))</f>
        <v/>
      </c>
      <c r="H75" s="128" t="str">
        <f t="array" ref="H75">IFERROR(INDEX('Mr Sandeep Kumar'!H:H,MATCH($B75,'Mr Sandeep Kumar'!$B:$B,0)),IFERROR(INDEX('Mr Manu Vikraman'!H:H,MATCH($B75,'Mr Manu Vikraman'!$B:$B,0)),""))</f>
        <v/>
      </c>
      <c r="I75" s="128" t="str">
        <f t="array" ref="I75">IFERROR(INDEX('Mr Sandeep Kumar'!I:I,MATCH($B75,'Mr Sandeep Kumar'!$B:$B,0)),IFERROR(INDEX('Mr Manu Vikraman'!I:I,MATCH($B75,'Mr Manu Vikraman'!$B:$B,0)),""))</f>
        <v/>
      </c>
      <c r="J75" s="128" t="str">
        <f t="array" ref="J75">IFERROR(INDEX('Mr Sandeep Kumar'!J:J,MATCH($B75,'Mr Sandeep Kumar'!$B:$B,0)),IFERROR(INDEX('Mr Manu Vikraman'!J:J,MATCH($B75,'Mr Manu Vikraman'!$B:$B,0)),""))</f>
        <v/>
      </c>
      <c r="K75" s="128" t="str">
        <f t="array" ref="K75">IFERROR(INDEX('Mr Sandeep Kumar'!K:K,MATCH($B75,'Mr Sandeep Kumar'!$B:$B,0)),IFERROR(INDEX('Mr Manu Vikraman'!K:K,MATCH($B75,'Mr Manu Vikraman'!$B:$B,0)),""))</f>
        <v/>
      </c>
      <c r="L75" s="128" t="str">
        <f t="array" ref="L75">IFERROR(INDEX('Mr Sandeep Kumar'!L:L,MATCH($B75,'Mr Sandeep Kumar'!$B:$B,0)),IFERROR(INDEX('Mr Manu Vikraman'!L:L,MATCH($B75,'Mr Manu Vikraman'!$B:$B,0)),""))</f>
        <v/>
      </c>
      <c r="M75" s="128" t="str">
        <f t="array" ref="M75">IFERROR(INDEX('Mr Sandeep Kumar'!M:M,MATCH($B75,'Mr Sandeep Kumar'!$B:$B,0)),IFERROR(INDEX('Mr Manu Vikraman'!M:M,MATCH($B75,'Mr Manu Vikraman'!$B:$B,0)),""))</f>
        <v/>
      </c>
      <c r="N75" s="128" t="str">
        <f t="array" ref="N75">IFERROR(INDEX('Mr Sandeep Kumar'!N:N,MATCH($B75,'Mr Sandeep Kumar'!$B:$B,0)),IFERROR(INDEX('Mr Manu Vikraman'!N:N,MATCH($B75,'Mr Manu Vikraman'!$B:$B,0)),""))</f>
        <v/>
      </c>
      <c r="O75" s="128" t="str">
        <f t="array" ref="O75">IFERROR(INDEX('Mr Sandeep Kumar'!O:O,MATCH($B75,'Mr Sandeep Kumar'!$B:$B,0)),IFERROR(INDEX('Mr Manu Vikraman'!O:O,MATCH($B75,'Mr Manu Vikraman'!$B:$B,0)),""))</f>
        <v/>
      </c>
      <c r="P75" s="128" t="str">
        <f t="array" ref="P75">IFERROR(INDEX('Mr Sandeep Kumar'!P:P,MATCH($B75,'Mr Sandeep Kumar'!$B:$B,0)),IFERROR(INDEX('Mr Manu Vikraman'!P:P,MATCH($B75,'Mr Manu Vikraman'!$B:$B,0)),""))</f>
        <v/>
      </c>
      <c r="Q75" s="129">
        <f t="shared" si="1"/>
        <v>0</v>
      </c>
      <c r="R75" s="130">
        <f t="shared" si="2"/>
        <v>0</v>
      </c>
      <c r="S75" s="131" t="str">
        <f t="shared" si="3"/>
        <v>D</v>
      </c>
      <c r="T75" s="131" t="str">
        <f t="shared" si="4"/>
        <v>Not Started</v>
      </c>
      <c r="U75" s="132"/>
    </row>
    <row r="76" ht="21.75" customHeight="1">
      <c r="A76" s="125">
        <v>70.0</v>
      </c>
      <c r="B76" s="96" t="s">
        <v>383</v>
      </c>
      <c r="C76" s="97" t="s">
        <v>384</v>
      </c>
      <c r="D76" s="97" t="s">
        <v>385</v>
      </c>
      <c r="E76" s="126"/>
      <c r="F76" s="127"/>
      <c r="G76" s="128" t="str">
        <f t="array" ref="G76">IFERROR(INDEX('Mr Sandeep Kumar'!G:G,MATCH($B76,'Mr Sandeep Kumar'!$B:$B,0)),IFERROR(INDEX('Mr Manu Vikraman'!G:G,MATCH($B76,'Mr Manu Vikraman'!$B:$B,0)),""))</f>
        <v/>
      </c>
      <c r="H76" s="128" t="str">
        <f t="array" ref="H76">IFERROR(INDEX('Mr Sandeep Kumar'!H:H,MATCH($B76,'Mr Sandeep Kumar'!$B:$B,0)),IFERROR(INDEX('Mr Manu Vikraman'!H:H,MATCH($B76,'Mr Manu Vikraman'!$B:$B,0)),""))</f>
        <v/>
      </c>
      <c r="I76" s="128" t="str">
        <f t="array" ref="I76">IFERROR(INDEX('Mr Sandeep Kumar'!I:I,MATCH($B76,'Mr Sandeep Kumar'!$B:$B,0)),IFERROR(INDEX('Mr Manu Vikraman'!I:I,MATCH($B76,'Mr Manu Vikraman'!$B:$B,0)),""))</f>
        <v/>
      </c>
      <c r="J76" s="128" t="str">
        <f t="array" ref="J76">IFERROR(INDEX('Mr Sandeep Kumar'!J:J,MATCH($B76,'Mr Sandeep Kumar'!$B:$B,0)),IFERROR(INDEX('Mr Manu Vikraman'!J:J,MATCH($B76,'Mr Manu Vikraman'!$B:$B,0)),""))</f>
        <v/>
      </c>
      <c r="K76" s="128" t="str">
        <f t="array" ref="K76">IFERROR(INDEX('Mr Sandeep Kumar'!K:K,MATCH($B76,'Mr Sandeep Kumar'!$B:$B,0)),IFERROR(INDEX('Mr Manu Vikraman'!K:K,MATCH($B76,'Mr Manu Vikraman'!$B:$B,0)),""))</f>
        <v/>
      </c>
      <c r="L76" s="128" t="str">
        <f t="array" ref="L76">IFERROR(INDEX('Mr Sandeep Kumar'!L:L,MATCH($B76,'Mr Sandeep Kumar'!$B:$B,0)),IFERROR(INDEX('Mr Manu Vikraman'!L:L,MATCH($B76,'Mr Manu Vikraman'!$B:$B,0)),""))</f>
        <v/>
      </c>
      <c r="M76" s="128" t="str">
        <f t="array" ref="M76">IFERROR(INDEX('Mr Sandeep Kumar'!M:M,MATCH($B76,'Mr Sandeep Kumar'!$B:$B,0)),IFERROR(INDEX('Mr Manu Vikraman'!M:M,MATCH($B76,'Mr Manu Vikraman'!$B:$B,0)),""))</f>
        <v/>
      </c>
      <c r="N76" s="128" t="str">
        <f t="array" ref="N76">IFERROR(INDEX('Mr Sandeep Kumar'!N:N,MATCH($B76,'Mr Sandeep Kumar'!$B:$B,0)),IFERROR(INDEX('Mr Manu Vikraman'!N:N,MATCH($B76,'Mr Manu Vikraman'!$B:$B,0)),""))</f>
        <v/>
      </c>
      <c r="O76" s="128" t="str">
        <f t="array" ref="O76">IFERROR(INDEX('Mr Sandeep Kumar'!O:O,MATCH($B76,'Mr Sandeep Kumar'!$B:$B,0)),IFERROR(INDEX('Mr Manu Vikraman'!O:O,MATCH($B76,'Mr Manu Vikraman'!$B:$B,0)),""))</f>
        <v/>
      </c>
      <c r="P76" s="128" t="str">
        <f t="array" ref="P76">IFERROR(INDEX('Mr Sandeep Kumar'!P:P,MATCH($B76,'Mr Sandeep Kumar'!$B:$B,0)),IFERROR(INDEX('Mr Manu Vikraman'!P:P,MATCH($B76,'Mr Manu Vikraman'!$B:$B,0)),""))</f>
        <v/>
      </c>
      <c r="Q76" s="129">
        <f t="shared" si="1"/>
        <v>0</v>
      </c>
      <c r="R76" s="130">
        <f t="shared" si="2"/>
        <v>0</v>
      </c>
      <c r="S76" s="131" t="str">
        <f t="shared" si="3"/>
        <v>D</v>
      </c>
      <c r="T76" s="131" t="str">
        <f t="shared" si="4"/>
        <v>Not Started</v>
      </c>
      <c r="U76" s="132"/>
    </row>
    <row r="77" ht="21.75" customHeight="1">
      <c r="A77" s="125">
        <v>71.0</v>
      </c>
      <c r="B77" s="96" t="s">
        <v>386</v>
      </c>
      <c r="C77" s="97" t="s">
        <v>387</v>
      </c>
      <c r="D77" s="97" t="s">
        <v>388</v>
      </c>
      <c r="E77" s="126"/>
      <c r="F77" s="127"/>
      <c r="G77" s="128" t="str">
        <f t="array" ref="G77">IFERROR(INDEX('Mr Sandeep Kumar'!G:G,MATCH($B77,'Mr Sandeep Kumar'!$B:$B,0)),IFERROR(INDEX('Mr Manu Vikraman'!G:G,MATCH($B77,'Mr Manu Vikraman'!$B:$B,0)),""))</f>
        <v/>
      </c>
      <c r="H77" s="128" t="str">
        <f t="array" ref="H77">IFERROR(INDEX('Mr Sandeep Kumar'!H:H,MATCH($B77,'Mr Sandeep Kumar'!$B:$B,0)),IFERROR(INDEX('Mr Manu Vikraman'!H:H,MATCH($B77,'Mr Manu Vikraman'!$B:$B,0)),""))</f>
        <v/>
      </c>
      <c r="I77" s="128" t="str">
        <f t="array" ref="I77">IFERROR(INDEX('Mr Sandeep Kumar'!I:I,MATCH($B77,'Mr Sandeep Kumar'!$B:$B,0)),IFERROR(INDEX('Mr Manu Vikraman'!I:I,MATCH($B77,'Mr Manu Vikraman'!$B:$B,0)),""))</f>
        <v/>
      </c>
      <c r="J77" s="128" t="str">
        <f t="array" ref="J77">IFERROR(INDEX('Mr Sandeep Kumar'!J:J,MATCH($B77,'Mr Sandeep Kumar'!$B:$B,0)),IFERROR(INDEX('Mr Manu Vikraman'!J:J,MATCH($B77,'Mr Manu Vikraman'!$B:$B,0)),""))</f>
        <v/>
      </c>
      <c r="K77" s="128" t="str">
        <f t="array" ref="K77">IFERROR(INDEX('Mr Sandeep Kumar'!K:K,MATCH($B77,'Mr Sandeep Kumar'!$B:$B,0)),IFERROR(INDEX('Mr Manu Vikraman'!K:K,MATCH($B77,'Mr Manu Vikraman'!$B:$B,0)),""))</f>
        <v/>
      </c>
      <c r="L77" s="128" t="str">
        <f t="array" ref="L77">IFERROR(INDEX('Mr Sandeep Kumar'!L:L,MATCH($B77,'Mr Sandeep Kumar'!$B:$B,0)),IFERROR(INDEX('Mr Manu Vikraman'!L:L,MATCH($B77,'Mr Manu Vikraman'!$B:$B,0)),""))</f>
        <v/>
      </c>
      <c r="M77" s="128" t="str">
        <f t="array" ref="M77">IFERROR(INDEX('Mr Sandeep Kumar'!M:M,MATCH($B77,'Mr Sandeep Kumar'!$B:$B,0)),IFERROR(INDEX('Mr Manu Vikraman'!M:M,MATCH($B77,'Mr Manu Vikraman'!$B:$B,0)),""))</f>
        <v/>
      </c>
      <c r="N77" s="128" t="str">
        <f t="array" ref="N77">IFERROR(INDEX('Mr Sandeep Kumar'!N:N,MATCH($B77,'Mr Sandeep Kumar'!$B:$B,0)),IFERROR(INDEX('Mr Manu Vikraman'!N:N,MATCH($B77,'Mr Manu Vikraman'!$B:$B,0)),""))</f>
        <v/>
      </c>
      <c r="O77" s="128" t="str">
        <f t="array" ref="O77">IFERROR(INDEX('Mr Sandeep Kumar'!O:O,MATCH($B77,'Mr Sandeep Kumar'!$B:$B,0)),IFERROR(INDEX('Mr Manu Vikraman'!O:O,MATCH($B77,'Mr Manu Vikraman'!$B:$B,0)),""))</f>
        <v/>
      </c>
      <c r="P77" s="128" t="str">
        <f t="array" ref="P77">IFERROR(INDEX('Mr Sandeep Kumar'!P:P,MATCH($B77,'Mr Sandeep Kumar'!$B:$B,0)),IFERROR(INDEX('Mr Manu Vikraman'!P:P,MATCH($B77,'Mr Manu Vikraman'!$B:$B,0)),""))</f>
        <v/>
      </c>
      <c r="Q77" s="129">
        <f t="shared" si="1"/>
        <v>0</v>
      </c>
      <c r="R77" s="130">
        <f t="shared" si="2"/>
        <v>0</v>
      </c>
      <c r="S77" s="131" t="str">
        <f t="shared" si="3"/>
        <v>D</v>
      </c>
      <c r="T77" s="131" t="str">
        <f t="shared" si="4"/>
        <v>Not Started</v>
      </c>
      <c r="U77" s="132"/>
    </row>
    <row r="78" ht="21.75" customHeight="1">
      <c r="A78" s="125">
        <v>72.0</v>
      </c>
      <c r="B78" s="96" t="s">
        <v>390</v>
      </c>
      <c r="C78" s="97" t="s">
        <v>391</v>
      </c>
      <c r="D78" s="97" t="s">
        <v>392</v>
      </c>
      <c r="E78" s="126"/>
      <c r="F78" s="127"/>
      <c r="G78" s="128" t="str">
        <f t="array" ref="G78">IFERROR(INDEX('Mr Sandeep Kumar'!G:G,MATCH($B78,'Mr Sandeep Kumar'!$B:$B,0)),IFERROR(INDEX('Mr Manu Vikraman'!G:G,MATCH($B78,'Mr Manu Vikraman'!$B:$B,0)),""))</f>
        <v/>
      </c>
      <c r="H78" s="128" t="str">
        <f t="array" ref="H78">IFERROR(INDEX('Mr Sandeep Kumar'!H:H,MATCH($B78,'Mr Sandeep Kumar'!$B:$B,0)),IFERROR(INDEX('Mr Manu Vikraman'!H:H,MATCH($B78,'Mr Manu Vikraman'!$B:$B,0)),""))</f>
        <v/>
      </c>
      <c r="I78" s="128" t="str">
        <f t="array" ref="I78">IFERROR(INDEX('Mr Sandeep Kumar'!I:I,MATCH($B78,'Mr Sandeep Kumar'!$B:$B,0)),IFERROR(INDEX('Mr Manu Vikraman'!I:I,MATCH($B78,'Mr Manu Vikraman'!$B:$B,0)),""))</f>
        <v/>
      </c>
      <c r="J78" s="128" t="str">
        <f t="array" ref="J78">IFERROR(INDEX('Mr Sandeep Kumar'!J:J,MATCH($B78,'Mr Sandeep Kumar'!$B:$B,0)),IFERROR(INDEX('Mr Manu Vikraman'!J:J,MATCH($B78,'Mr Manu Vikraman'!$B:$B,0)),""))</f>
        <v/>
      </c>
      <c r="K78" s="128" t="str">
        <f t="array" ref="K78">IFERROR(INDEX('Mr Sandeep Kumar'!K:K,MATCH($B78,'Mr Sandeep Kumar'!$B:$B,0)),IFERROR(INDEX('Mr Manu Vikraman'!K:K,MATCH($B78,'Mr Manu Vikraman'!$B:$B,0)),""))</f>
        <v/>
      </c>
      <c r="L78" s="128" t="str">
        <f t="array" ref="L78">IFERROR(INDEX('Mr Sandeep Kumar'!L:L,MATCH($B78,'Mr Sandeep Kumar'!$B:$B,0)),IFERROR(INDEX('Mr Manu Vikraman'!L:L,MATCH($B78,'Mr Manu Vikraman'!$B:$B,0)),""))</f>
        <v/>
      </c>
      <c r="M78" s="128" t="str">
        <f t="array" ref="M78">IFERROR(INDEX('Mr Sandeep Kumar'!M:M,MATCH($B78,'Mr Sandeep Kumar'!$B:$B,0)),IFERROR(INDEX('Mr Manu Vikraman'!M:M,MATCH($B78,'Mr Manu Vikraman'!$B:$B,0)),""))</f>
        <v/>
      </c>
      <c r="N78" s="128" t="str">
        <f t="array" ref="N78">IFERROR(INDEX('Mr Sandeep Kumar'!N:N,MATCH($B78,'Mr Sandeep Kumar'!$B:$B,0)),IFERROR(INDEX('Mr Manu Vikraman'!N:N,MATCH($B78,'Mr Manu Vikraman'!$B:$B,0)),""))</f>
        <v/>
      </c>
      <c r="O78" s="128" t="str">
        <f t="array" ref="O78">IFERROR(INDEX('Mr Sandeep Kumar'!O:O,MATCH($B78,'Mr Sandeep Kumar'!$B:$B,0)),IFERROR(INDEX('Mr Manu Vikraman'!O:O,MATCH($B78,'Mr Manu Vikraman'!$B:$B,0)),""))</f>
        <v/>
      </c>
      <c r="P78" s="128" t="str">
        <f t="array" ref="P78">IFERROR(INDEX('Mr Sandeep Kumar'!P:P,MATCH($B78,'Mr Sandeep Kumar'!$B:$B,0)),IFERROR(INDEX('Mr Manu Vikraman'!P:P,MATCH($B78,'Mr Manu Vikraman'!$B:$B,0)),""))</f>
        <v/>
      </c>
      <c r="Q78" s="129">
        <f t="shared" si="1"/>
        <v>0</v>
      </c>
      <c r="R78" s="130">
        <f t="shared" si="2"/>
        <v>0</v>
      </c>
      <c r="S78" s="131" t="str">
        <f t="shared" si="3"/>
        <v>D</v>
      </c>
      <c r="T78" s="131" t="str">
        <f t="shared" si="4"/>
        <v>Not Started</v>
      </c>
      <c r="U78" s="132"/>
    </row>
    <row r="79" ht="21.75" customHeight="1">
      <c r="A79" s="125">
        <v>73.0</v>
      </c>
      <c r="B79" s="96" t="s">
        <v>393</v>
      </c>
      <c r="C79" s="97" t="s">
        <v>394</v>
      </c>
      <c r="D79" s="97" t="s">
        <v>395</v>
      </c>
      <c r="E79" s="126"/>
      <c r="F79" s="127"/>
      <c r="G79" s="128" t="str">
        <f t="array" ref="G79">IFERROR(INDEX('Mr Sandeep Kumar'!G:G,MATCH($B79,'Mr Sandeep Kumar'!$B:$B,0)),IFERROR(INDEX('Mr Manu Vikraman'!G:G,MATCH($B79,'Mr Manu Vikraman'!$B:$B,0)),""))</f>
        <v/>
      </c>
      <c r="H79" s="128" t="str">
        <f t="array" ref="H79">IFERROR(INDEX('Mr Sandeep Kumar'!H:H,MATCH($B79,'Mr Sandeep Kumar'!$B:$B,0)),IFERROR(INDEX('Mr Manu Vikraman'!H:H,MATCH($B79,'Mr Manu Vikraman'!$B:$B,0)),""))</f>
        <v/>
      </c>
      <c r="I79" s="128" t="str">
        <f t="array" ref="I79">IFERROR(INDEX('Mr Sandeep Kumar'!I:I,MATCH($B79,'Mr Sandeep Kumar'!$B:$B,0)),IFERROR(INDEX('Mr Manu Vikraman'!I:I,MATCH($B79,'Mr Manu Vikraman'!$B:$B,0)),""))</f>
        <v/>
      </c>
      <c r="J79" s="128" t="str">
        <f t="array" ref="J79">IFERROR(INDEX('Mr Sandeep Kumar'!J:J,MATCH($B79,'Mr Sandeep Kumar'!$B:$B,0)),IFERROR(INDEX('Mr Manu Vikraman'!J:J,MATCH($B79,'Mr Manu Vikraman'!$B:$B,0)),""))</f>
        <v/>
      </c>
      <c r="K79" s="128" t="str">
        <f t="array" ref="K79">IFERROR(INDEX('Mr Sandeep Kumar'!K:K,MATCH($B79,'Mr Sandeep Kumar'!$B:$B,0)),IFERROR(INDEX('Mr Manu Vikraman'!K:K,MATCH($B79,'Mr Manu Vikraman'!$B:$B,0)),""))</f>
        <v/>
      </c>
      <c r="L79" s="128" t="str">
        <f t="array" ref="L79">IFERROR(INDEX('Mr Sandeep Kumar'!L:L,MATCH($B79,'Mr Sandeep Kumar'!$B:$B,0)),IFERROR(INDEX('Mr Manu Vikraman'!L:L,MATCH($B79,'Mr Manu Vikraman'!$B:$B,0)),""))</f>
        <v/>
      </c>
      <c r="M79" s="128" t="str">
        <f t="array" ref="M79">IFERROR(INDEX('Mr Sandeep Kumar'!M:M,MATCH($B79,'Mr Sandeep Kumar'!$B:$B,0)),IFERROR(INDEX('Mr Manu Vikraman'!M:M,MATCH($B79,'Mr Manu Vikraman'!$B:$B,0)),""))</f>
        <v/>
      </c>
      <c r="N79" s="128" t="str">
        <f t="array" ref="N79">IFERROR(INDEX('Mr Sandeep Kumar'!N:N,MATCH($B79,'Mr Sandeep Kumar'!$B:$B,0)),IFERROR(INDEX('Mr Manu Vikraman'!N:N,MATCH($B79,'Mr Manu Vikraman'!$B:$B,0)),""))</f>
        <v/>
      </c>
      <c r="O79" s="128" t="str">
        <f t="array" ref="O79">IFERROR(INDEX('Mr Sandeep Kumar'!O:O,MATCH($B79,'Mr Sandeep Kumar'!$B:$B,0)),IFERROR(INDEX('Mr Manu Vikraman'!O:O,MATCH($B79,'Mr Manu Vikraman'!$B:$B,0)),""))</f>
        <v/>
      </c>
      <c r="P79" s="128" t="str">
        <f t="array" ref="P79">IFERROR(INDEX('Mr Sandeep Kumar'!P:P,MATCH($B79,'Mr Sandeep Kumar'!$B:$B,0)),IFERROR(INDEX('Mr Manu Vikraman'!P:P,MATCH($B79,'Mr Manu Vikraman'!$B:$B,0)),""))</f>
        <v/>
      </c>
      <c r="Q79" s="129">
        <f t="shared" si="1"/>
        <v>0</v>
      </c>
      <c r="R79" s="130">
        <f t="shared" si="2"/>
        <v>0</v>
      </c>
      <c r="S79" s="131" t="str">
        <f t="shared" si="3"/>
        <v>D</v>
      </c>
      <c r="T79" s="131" t="str">
        <f t="shared" si="4"/>
        <v>Not Started</v>
      </c>
      <c r="U79" s="132"/>
    </row>
    <row r="80" ht="21.75" customHeight="1">
      <c r="A80" s="125">
        <v>74.0</v>
      </c>
      <c r="B80" s="96" t="s">
        <v>396</v>
      </c>
      <c r="C80" s="97" t="s">
        <v>397</v>
      </c>
      <c r="D80" s="97" t="s">
        <v>398</v>
      </c>
      <c r="E80" s="126"/>
      <c r="F80" s="127"/>
      <c r="G80" s="128" t="str">
        <f t="array" ref="G80">IFERROR(INDEX('Mr Sandeep Kumar'!G:G,MATCH($B80,'Mr Sandeep Kumar'!$B:$B,0)),IFERROR(INDEX('Mr Manu Vikraman'!G:G,MATCH($B80,'Mr Manu Vikraman'!$B:$B,0)),""))</f>
        <v/>
      </c>
      <c r="H80" s="128" t="str">
        <f t="array" ref="H80">IFERROR(INDEX('Mr Sandeep Kumar'!H:H,MATCH($B80,'Mr Sandeep Kumar'!$B:$B,0)),IFERROR(INDEX('Mr Manu Vikraman'!H:H,MATCH($B80,'Mr Manu Vikraman'!$B:$B,0)),""))</f>
        <v/>
      </c>
      <c r="I80" s="128" t="str">
        <f t="array" ref="I80">IFERROR(INDEX('Mr Sandeep Kumar'!I:I,MATCH($B80,'Mr Sandeep Kumar'!$B:$B,0)),IFERROR(INDEX('Mr Manu Vikraman'!I:I,MATCH($B80,'Mr Manu Vikraman'!$B:$B,0)),""))</f>
        <v/>
      </c>
      <c r="J80" s="128" t="str">
        <f t="array" ref="J80">IFERROR(INDEX('Mr Sandeep Kumar'!J:J,MATCH($B80,'Mr Sandeep Kumar'!$B:$B,0)),IFERROR(INDEX('Mr Manu Vikraman'!J:J,MATCH($B80,'Mr Manu Vikraman'!$B:$B,0)),""))</f>
        <v/>
      </c>
      <c r="K80" s="128" t="str">
        <f t="array" ref="K80">IFERROR(INDEX('Mr Sandeep Kumar'!K:K,MATCH($B80,'Mr Sandeep Kumar'!$B:$B,0)),IFERROR(INDEX('Mr Manu Vikraman'!K:K,MATCH($B80,'Mr Manu Vikraman'!$B:$B,0)),""))</f>
        <v/>
      </c>
      <c r="L80" s="128" t="str">
        <f t="array" ref="L80">IFERROR(INDEX('Mr Sandeep Kumar'!L:L,MATCH($B80,'Mr Sandeep Kumar'!$B:$B,0)),IFERROR(INDEX('Mr Manu Vikraman'!L:L,MATCH($B80,'Mr Manu Vikraman'!$B:$B,0)),""))</f>
        <v/>
      </c>
      <c r="M80" s="128" t="str">
        <f t="array" ref="M80">IFERROR(INDEX('Mr Sandeep Kumar'!M:M,MATCH($B80,'Mr Sandeep Kumar'!$B:$B,0)),IFERROR(INDEX('Mr Manu Vikraman'!M:M,MATCH($B80,'Mr Manu Vikraman'!$B:$B,0)),""))</f>
        <v/>
      </c>
      <c r="N80" s="128" t="str">
        <f t="array" ref="N80">IFERROR(INDEX('Mr Sandeep Kumar'!N:N,MATCH($B80,'Mr Sandeep Kumar'!$B:$B,0)),IFERROR(INDEX('Mr Manu Vikraman'!N:N,MATCH($B80,'Mr Manu Vikraman'!$B:$B,0)),""))</f>
        <v/>
      </c>
      <c r="O80" s="128" t="str">
        <f t="array" ref="O80">IFERROR(INDEX('Mr Sandeep Kumar'!O:O,MATCH($B80,'Mr Sandeep Kumar'!$B:$B,0)),IFERROR(INDEX('Mr Manu Vikraman'!O:O,MATCH($B80,'Mr Manu Vikraman'!$B:$B,0)),""))</f>
        <v/>
      </c>
      <c r="P80" s="128" t="str">
        <f t="array" ref="P80">IFERROR(INDEX('Mr Sandeep Kumar'!P:P,MATCH($B80,'Mr Sandeep Kumar'!$B:$B,0)),IFERROR(INDEX('Mr Manu Vikraman'!P:P,MATCH($B80,'Mr Manu Vikraman'!$B:$B,0)),""))</f>
        <v/>
      </c>
      <c r="Q80" s="129">
        <f t="shared" si="1"/>
        <v>0</v>
      </c>
      <c r="R80" s="130">
        <f t="shared" si="2"/>
        <v>0</v>
      </c>
      <c r="S80" s="131" t="str">
        <f t="shared" si="3"/>
        <v>D</v>
      </c>
      <c r="T80" s="131" t="str">
        <f t="shared" si="4"/>
        <v>Not Started</v>
      </c>
      <c r="U80" s="132"/>
    </row>
    <row r="81" ht="21.75" customHeight="1">
      <c r="A81" s="125">
        <v>75.0</v>
      </c>
      <c r="B81" s="96" t="s">
        <v>399</v>
      </c>
      <c r="C81" s="97" t="s">
        <v>400</v>
      </c>
      <c r="D81" s="97" t="s">
        <v>401</v>
      </c>
      <c r="E81" s="126"/>
      <c r="F81" s="127"/>
      <c r="G81" s="128" t="str">
        <f t="array" ref="G81">IFERROR(INDEX('Mr Sandeep Kumar'!G:G,MATCH($B81,'Mr Sandeep Kumar'!$B:$B,0)),IFERROR(INDEX('Mr Manu Vikraman'!G:G,MATCH($B81,'Mr Manu Vikraman'!$B:$B,0)),""))</f>
        <v/>
      </c>
      <c r="H81" s="128" t="str">
        <f t="array" ref="H81">IFERROR(INDEX('Mr Sandeep Kumar'!H:H,MATCH($B81,'Mr Sandeep Kumar'!$B:$B,0)),IFERROR(INDEX('Mr Manu Vikraman'!H:H,MATCH($B81,'Mr Manu Vikraman'!$B:$B,0)),""))</f>
        <v/>
      </c>
      <c r="I81" s="128" t="str">
        <f t="array" ref="I81">IFERROR(INDEX('Mr Sandeep Kumar'!I:I,MATCH($B81,'Mr Sandeep Kumar'!$B:$B,0)),IFERROR(INDEX('Mr Manu Vikraman'!I:I,MATCH($B81,'Mr Manu Vikraman'!$B:$B,0)),""))</f>
        <v/>
      </c>
      <c r="J81" s="128" t="str">
        <f t="array" ref="J81">IFERROR(INDEX('Mr Sandeep Kumar'!J:J,MATCH($B81,'Mr Sandeep Kumar'!$B:$B,0)),IFERROR(INDEX('Mr Manu Vikraman'!J:J,MATCH($B81,'Mr Manu Vikraman'!$B:$B,0)),""))</f>
        <v/>
      </c>
      <c r="K81" s="128" t="str">
        <f t="array" ref="K81">IFERROR(INDEX('Mr Sandeep Kumar'!K:K,MATCH($B81,'Mr Sandeep Kumar'!$B:$B,0)),IFERROR(INDEX('Mr Manu Vikraman'!K:K,MATCH($B81,'Mr Manu Vikraman'!$B:$B,0)),""))</f>
        <v/>
      </c>
      <c r="L81" s="128" t="str">
        <f t="array" ref="L81">IFERROR(INDEX('Mr Sandeep Kumar'!L:L,MATCH($B81,'Mr Sandeep Kumar'!$B:$B,0)),IFERROR(INDEX('Mr Manu Vikraman'!L:L,MATCH($B81,'Mr Manu Vikraman'!$B:$B,0)),""))</f>
        <v/>
      </c>
      <c r="M81" s="128" t="str">
        <f t="array" ref="M81">IFERROR(INDEX('Mr Sandeep Kumar'!M:M,MATCH($B81,'Mr Sandeep Kumar'!$B:$B,0)),IFERROR(INDEX('Mr Manu Vikraman'!M:M,MATCH($B81,'Mr Manu Vikraman'!$B:$B,0)),""))</f>
        <v/>
      </c>
      <c r="N81" s="128" t="str">
        <f t="array" ref="N81">IFERROR(INDEX('Mr Sandeep Kumar'!N:N,MATCH($B81,'Mr Sandeep Kumar'!$B:$B,0)),IFERROR(INDEX('Mr Manu Vikraman'!N:N,MATCH($B81,'Mr Manu Vikraman'!$B:$B,0)),""))</f>
        <v/>
      </c>
      <c r="O81" s="128" t="str">
        <f t="array" ref="O81">IFERROR(INDEX('Mr Sandeep Kumar'!O:O,MATCH($B81,'Mr Sandeep Kumar'!$B:$B,0)),IFERROR(INDEX('Mr Manu Vikraman'!O:O,MATCH($B81,'Mr Manu Vikraman'!$B:$B,0)),""))</f>
        <v/>
      </c>
      <c r="P81" s="128" t="str">
        <f t="array" ref="P81">IFERROR(INDEX('Mr Sandeep Kumar'!P:P,MATCH($B81,'Mr Sandeep Kumar'!$B:$B,0)),IFERROR(INDEX('Mr Manu Vikraman'!P:P,MATCH($B81,'Mr Manu Vikraman'!$B:$B,0)),""))</f>
        <v/>
      </c>
      <c r="Q81" s="129">
        <f t="shared" si="1"/>
        <v>0</v>
      </c>
      <c r="R81" s="130">
        <f t="shared" si="2"/>
        <v>0</v>
      </c>
      <c r="S81" s="131" t="str">
        <f t="shared" si="3"/>
        <v>D</v>
      </c>
      <c r="T81" s="131" t="str">
        <f t="shared" si="4"/>
        <v>Not Started</v>
      </c>
      <c r="U81" s="132"/>
    </row>
    <row r="82" ht="21.75" customHeight="1">
      <c r="A82" s="125">
        <v>76.0</v>
      </c>
      <c r="B82" s="96" t="s">
        <v>402</v>
      </c>
      <c r="C82" s="97" t="s">
        <v>403</v>
      </c>
      <c r="D82" s="97" t="s">
        <v>404</v>
      </c>
      <c r="E82" s="126"/>
      <c r="F82" s="127"/>
      <c r="G82" s="128" t="str">
        <f t="array" ref="G82">IFERROR(INDEX('Mr Sandeep Kumar'!G:G,MATCH($B82,'Mr Sandeep Kumar'!$B:$B,0)),IFERROR(INDEX('Mr Manu Vikraman'!G:G,MATCH($B82,'Mr Manu Vikraman'!$B:$B,0)),""))</f>
        <v/>
      </c>
      <c r="H82" s="128" t="str">
        <f t="array" ref="H82">IFERROR(INDEX('Mr Sandeep Kumar'!H:H,MATCH($B82,'Mr Sandeep Kumar'!$B:$B,0)),IFERROR(INDEX('Mr Manu Vikraman'!H:H,MATCH($B82,'Mr Manu Vikraman'!$B:$B,0)),""))</f>
        <v/>
      </c>
      <c r="I82" s="128" t="str">
        <f t="array" ref="I82">IFERROR(INDEX('Mr Sandeep Kumar'!I:I,MATCH($B82,'Mr Sandeep Kumar'!$B:$B,0)),IFERROR(INDEX('Mr Manu Vikraman'!I:I,MATCH($B82,'Mr Manu Vikraman'!$B:$B,0)),""))</f>
        <v/>
      </c>
      <c r="J82" s="128" t="str">
        <f t="array" ref="J82">IFERROR(INDEX('Mr Sandeep Kumar'!J:J,MATCH($B82,'Mr Sandeep Kumar'!$B:$B,0)),IFERROR(INDEX('Mr Manu Vikraman'!J:J,MATCH($B82,'Mr Manu Vikraman'!$B:$B,0)),""))</f>
        <v/>
      </c>
      <c r="K82" s="128" t="str">
        <f t="array" ref="K82">IFERROR(INDEX('Mr Sandeep Kumar'!K:K,MATCH($B82,'Mr Sandeep Kumar'!$B:$B,0)),IFERROR(INDEX('Mr Manu Vikraman'!K:K,MATCH($B82,'Mr Manu Vikraman'!$B:$B,0)),""))</f>
        <v/>
      </c>
      <c r="L82" s="128" t="str">
        <f t="array" ref="L82">IFERROR(INDEX('Mr Sandeep Kumar'!L:L,MATCH($B82,'Mr Sandeep Kumar'!$B:$B,0)),IFERROR(INDEX('Mr Manu Vikraman'!L:L,MATCH($B82,'Mr Manu Vikraman'!$B:$B,0)),""))</f>
        <v/>
      </c>
      <c r="M82" s="128" t="str">
        <f t="array" ref="M82">IFERROR(INDEX('Mr Sandeep Kumar'!M:M,MATCH($B82,'Mr Sandeep Kumar'!$B:$B,0)),IFERROR(INDEX('Mr Manu Vikraman'!M:M,MATCH($B82,'Mr Manu Vikraman'!$B:$B,0)),""))</f>
        <v/>
      </c>
      <c r="N82" s="128" t="str">
        <f t="array" ref="N82">IFERROR(INDEX('Mr Sandeep Kumar'!N:N,MATCH($B82,'Mr Sandeep Kumar'!$B:$B,0)),IFERROR(INDEX('Mr Manu Vikraman'!N:N,MATCH($B82,'Mr Manu Vikraman'!$B:$B,0)),""))</f>
        <v/>
      </c>
      <c r="O82" s="128" t="str">
        <f t="array" ref="O82">IFERROR(INDEX('Mr Sandeep Kumar'!O:O,MATCH($B82,'Mr Sandeep Kumar'!$B:$B,0)),IFERROR(INDEX('Mr Manu Vikraman'!O:O,MATCH($B82,'Mr Manu Vikraman'!$B:$B,0)),""))</f>
        <v/>
      </c>
      <c r="P82" s="128" t="str">
        <f t="array" ref="P82">IFERROR(INDEX('Mr Sandeep Kumar'!P:P,MATCH($B82,'Mr Sandeep Kumar'!$B:$B,0)),IFERROR(INDEX('Mr Manu Vikraman'!P:P,MATCH($B82,'Mr Manu Vikraman'!$B:$B,0)),""))</f>
        <v/>
      </c>
      <c r="Q82" s="129">
        <f t="shared" si="1"/>
        <v>0</v>
      </c>
      <c r="R82" s="130">
        <f t="shared" si="2"/>
        <v>0</v>
      </c>
      <c r="S82" s="131" t="str">
        <f t="shared" si="3"/>
        <v>D</v>
      </c>
      <c r="T82" s="131" t="str">
        <f t="shared" si="4"/>
        <v>Not Started</v>
      </c>
      <c r="U82" s="132"/>
    </row>
    <row r="83" ht="21.75" customHeight="1">
      <c r="A83" s="125">
        <v>77.0</v>
      </c>
      <c r="B83" s="96" t="s">
        <v>405</v>
      </c>
      <c r="C83" s="97" t="s">
        <v>406</v>
      </c>
      <c r="D83" s="97" t="s">
        <v>407</v>
      </c>
      <c r="E83" s="126"/>
      <c r="F83" s="127"/>
      <c r="G83" s="128" t="str">
        <f t="array" ref="G83">IFERROR(INDEX('Mr Sandeep Kumar'!G:G,MATCH($B83,'Mr Sandeep Kumar'!$B:$B,0)),IFERROR(INDEX('Mr Manu Vikraman'!G:G,MATCH($B83,'Mr Manu Vikraman'!$B:$B,0)),""))</f>
        <v/>
      </c>
      <c r="H83" s="128" t="str">
        <f t="array" ref="H83">IFERROR(INDEX('Mr Sandeep Kumar'!H:H,MATCH($B83,'Mr Sandeep Kumar'!$B:$B,0)),IFERROR(INDEX('Mr Manu Vikraman'!H:H,MATCH($B83,'Mr Manu Vikraman'!$B:$B,0)),""))</f>
        <v/>
      </c>
      <c r="I83" s="128" t="str">
        <f t="array" ref="I83">IFERROR(INDEX('Mr Sandeep Kumar'!I:I,MATCH($B83,'Mr Sandeep Kumar'!$B:$B,0)),IFERROR(INDEX('Mr Manu Vikraman'!I:I,MATCH($B83,'Mr Manu Vikraman'!$B:$B,0)),""))</f>
        <v/>
      </c>
      <c r="J83" s="128" t="str">
        <f t="array" ref="J83">IFERROR(INDEX('Mr Sandeep Kumar'!J:J,MATCH($B83,'Mr Sandeep Kumar'!$B:$B,0)),IFERROR(INDEX('Mr Manu Vikraman'!J:J,MATCH($B83,'Mr Manu Vikraman'!$B:$B,0)),""))</f>
        <v/>
      </c>
      <c r="K83" s="128" t="str">
        <f t="array" ref="K83">IFERROR(INDEX('Mr Sandeep Kumar'!K:K,MATCH($B83,'Mr Sandeep Kumar'!$B:$B,0)),IFERROR(INDEX('Mr Manu Vikraman'!K:K,MATCH($B83,'Mr Manu Vikraman'!$B:$B,0)),""))</f>
        <v/>
      </c>
      <c r="L83" s="128" t="str">
        <f t="array" ref="L83">IFERROR(INDEX('Mr Sandeep Kumar'!L:L,MATCH($B83,'Mr Sandeep Kumar'!$B:$B,0)),IFERROR(INDEX('Mr Manu Vikraman'!L:L,MATCH($B83,'Mr Manu Vikraman'!$B:$B,0)),""))</f>
        <v/>
      </c>
      <c r="M83" s="128" t="str">
        <f t="array" ref="M83">IFERROR(INDEX('Mr Sandeep Kumar'!M:M,MATCH($B83,'Mr Sandeep Kumar'!$B:$B,0)),IFERROR(INDEX('Mr Manu Vikraman'!M:M,MATCH($B83,'Mr Manu Vikraman'!$B:$B,0)),""))</f>
        <v/>
      </c>
      <c r="N83" s="128" t="str">
        <f t="array" ref="N83">IFERROR(INDEX('Mr Sandeep Kumar'!N:N,MATCH($B83,'Mr Sandeep Kumar'!$B:$B,0)),IFERROR(INDEX('Mr Manu Vikraman'!N:N,MATCH($B83,'Mr Manu Vikraman'!$B:$B,0)),""))</f>
        <v/>
      </c>
      <c r="O83" s="128" t="str">
        <f t="array" ref="O83">IFERROR(INDEX('Mr Sandeep Kumar'!O:O,MATCH($B83,'Mr Sandeep Kumar'!$B:$B,0)),IFERROR(INDEX('Mr Manu Vikraman'!O:O,MATCH($B83,'Mr Manu Vikraman'!$B:$B,0)),""))</f>
        <v/>
      </c>
      <c r="P83" s="128" t="str">
        <f t="array" ref="P83">IFERROR(INDEX('Mr Sandeep Kumar'!P:P,MATCH($B83,'Mr Sandeep Kumar'!$B:$B,0)),IFERROR(INDEX('Mr Manu Vikraman'!P:P,MATCH($B83,'Mr Manu Vikraman'!$B:$B,0)),""))</f>
        <v/>
      </c>
      <c r="Q83" s="129">
        <f t="shared" si="1"/>
        <v>0</v>
      </c>
      <c r="R83" s="130">
        <f t="shared" si="2"/>
        <v>0</v>
      </c>
      <c r="S83" s="131" t="str">
        <f t="shared" si="3"/>
        <v>D</v>
      </c>
      <c r="T83" s="131" t="str">
        <f t="shared" si="4"/>
        <v>Not Started</v>
      </c>
      <c r="U83" s="132"/>
    </row>
    <row r="84" ht="21.75" customHeight="1">
      <c r="A84" s="125">
        <v>78.0</v>
      </c>
      <c r="B84" s="96" t="s">
        <v>408</v>
      </c>
      <c r="C84" s="97" t="s">
        <v>409</v>
      </c>
      <c r="D84" s="97" t="s">
        <v>410</v>
      </c>
      <c r="E84" s="126"/>
      <c r="F84" s="127"/>
      <c r="G84" s="128" t="str">
        <f t="array" ref="G84">IFERROR(INDEX('Mr Sandeep Kumar'!G:G,MATCH($B84,'Mr Sandeep Kumar'!$B:$B,0)),IFERROR(INDEX('Mr Manu Vikraman'!G:G,MATCH($B84,'Mr Manu Vikraman'!$B:$B,0)),""))</f>
        <v/>
      </c>
      <c r="H84" s="128" t="str">
        <f t="array" ref="H84">IFERROR(INDEX('Mr Sandeep Kumar'!H:H,MATCH($B84,'Mr Sandeep Kumar'!$B:$B,0)),IFERROR(INDEX('Mr Manu Vikraman'!H:H,MATCH($B84,'Mr Manu Vikraman'!$B:$B,0)),""))</f>
        <v/>
      </c>
      <c r="I84" s="128" t="str">
        <f t="array" ref="I84">IFERROR(INDEX('Mr Sandeep Kumar'!I:I,MATCH($B84,'Mr Sandeep Kumar'!$B:$B,0)),IFERROR(INDEX('Mr Manu Vikraman'!I:I,MATCH($B84,'Mr Manu Vikraman'!$B:$B,0)),""))</f>
        <v/>
      </c>
      <c r="J84" s="128" t="str">
        <f t="array" ref="J84">IFERROR(INDEX('Mr Sandeep Kumar'!J:J,MATCH($B84,'Mr Sandeep Kumar'!$B:$B,0)),IFERROR(INDEX('Mr Manu Vikraman'!J:J,MATCH($B84,'Mr Manu Vikraman'!$B:$B,0)),""))</f>
        <v/>
      </c>
      <c r="K84" s="128" t="str">
        <f t="array" ref="K84">IFERROR(INDEX('Mr Sandeep Kumar'!K:K,MATCH($B84,'Mr Sandeep Kumar'!$B:$B,0)),IFERROR(INDEX('Mr Manu Vikraman'!K:K,MATCH($B84,'Mr Manu Vikraman'!$B:$B,0)),""))</f>
        <v/>
      </c>
      <c r="L84" s="128" t="str">
        <f t="array" ref="L84">IFERROR(INDEX('Mr Sandeep Kumar'!L:L,MATCH($B84,'Mr Sandeep Kumar'!$B:$B,0)),IFERROR(INDEX('Mr Manu Vikraman'!L:L,MATCH($B84,'Mr Manu Vikraman'!$B:$B,0)),""))</f>
        <v/>
      </c>
      <c r="M84" s="128" t="str">
        <f t="array" ref="M84">IFERROR(INDEX('Mr Sandeep Kumar'!M:M,MATCH($B84,'Mr Sandeep Kumar'!$B:$B,0)),IFERROR(INDEX('Mr Manu Vikraman'!M:M,MATCH($B84,'Mr Manu Vikraman'!$B:$B,0)),""))</f>
        <v/>
      </c>
      <c r="N84" s="128" t="str">
        <f t="array" ref="N84">IFERROR(INDEX('Mr Sandeep Kumar'!N:N,MATCH($B84,'Mr Sandeep Kumar'!$B:$B,0)),IFERROR(INDEX('Mr Manu Vikraman'!N:N,MATCH($B84,'Mr Manu Vikraman'!$B:$B,0)),""))</f>
        <v/>
      </c>
      <c r="O84" s="128" t="str">
        <f t="array" ref="O84">IFERROR(INDEX('Mr Sandeep Kumar'!O:O,MATCH($B84,'Mr Sandeep Kumar'!$B:$B,0)),IFERROR(INDEX('Mr Manu Vikraman'!O:O,MATCH($B84,'Mr Manu Vikraman'!$B:$B,0)),""))</f>
        <v/>
      </c>
      <c r="P84" s="128" t="str">
        <f t="array" ref="P84">IFERROR(INDEX('Mr Sandeep Kumar'!P:P,MATCH($B84,'Mr Sandeep Kumar'!$B:$B,0)),IFERROR(INDEX('Mr Manu Vikraman'!P:P,MATCH($B84,'Mr Manu Vikraman'!$B:$B,0)),""))</f>
        <v/>
      </c>
      <c r="Q84" s="129">
        <f t="shared" si="1"/>
        <v>0</v>
      </c>
      <c r="R84" s="130">
        <f t="shared" si="2"/>
        <v>0</v>
      </c>
      <c r="S84" s="131" t="str">
        <f t="shared" si="3"/>
        <v>D</v>
      </c>
      <c r="T84" s="131" t="str">
        <f t="shared" si="4"/>
        <v>Not Started</v>
      </c>
      <c r="U84" s="132"/>
    </row>
    <row r="85" ht="21.75" customHeight="1">
      <c r="A85" s="125">
        <v>79.0</v>
      </c>
      <c r="B85" s="96" t="s">
        <v>411</v>
      </c>
      <c r="C85" s="97" t="s">
        <v>412</v>
      </c>
      <c r="D85" s="97" t="s">
        <v>413</v>
      </c>
      <c r="E85" s="126"/>
      <c r="F85" s="127"/>
      <c r="G85" s="128" t="str">
        <f t="array" ref="G85">IFERROR(INDEX('Mr Sandeep Kumar'!G:G,MATCH($B85,'Mr Sandeep Kumar'!$B:$B,0)),IFERROR(INDEX('Mr Manu Vikraman'!G:G,MATCH($B85,'Mr Manu Vikraman'!$B:$B,0)),""))</f>
        <v/>
      </c>
      <c r="H85" s="128" t="str">
        <f t="array" ref="H85">IFERROR(INDEX('Mr Sandeep Kumar'!H:H,MATCH($B85,'Mr Sandeep Kumar'!$B:$B,0)),IFERROR(INDEX('Mr Manu Vikraman'!H:H,MATCH($B85,'Mr Manu Vikraman'!$B:$B,0)),""))</f>
        <v/>
      </c>
      <c r="I85" s="128" t="str">
        <f t="array" ref="I85">IFERROR(INDEX('Mr Sandeep Kumar'!I:I,MATCH($B85,'Mr Sandeep Kumar'!$B:$B,0)),IFERROR(INDEX('Mr Manu Vikraman'!I:I,MATCH($B85,'Mr Manu Vikraman'!$B:$B,0)),""))</f>
        <v/>
      </c>
      <c r="J85" s="128" t="str">
        <f t="array" ref="J85">IFERROR(INDEX('Mr Sandeep Kumar'!J:J,MATCH($B85,'Mr Sandeep Kumar'!$B:$B,0)),IFERROR(INDEX('Mr Manu Vikraman'!J:J,MATCH($B85,'Mr Manu Vikraman'!$B:$B,0)),""))</f>
        <v/>
      </c>
      <c r="K85" s="128" t="str">
        <f t="array" ref="K85">IFERROR(INDEX('Mr Sandeep Kumar'!K:K,MATCH($B85,'Mr Sandeep Kumar'!$B:$B,0)),IFERROR(INDEX('Mr Manu Vikraman'!K:K,MATCH($B85,'Mr Manu Vikraman'!$B:$B,0)),""))</f>
        <v/>
      </c>
      <c r="L85" s="128" t="str">
        <f t="array" ref="L85">IFERROR(INDEX('Mr Sandeep Kumar'!L:L,MATCH($B85,'Mr Sandeep Kumar'!$B:$B,0)),IFERROR(INDEX('Mr Manu Vikraman'!L:L,MATCH($B85,'Mr Manu Vikraman'!$B:$B,0)),""))</f>
        <v/>
      </c>
      <c r="M85" s="128" t="str">
        <f t="array" ref="M85">IFERROR(INDEX('Mr Sandeep Kumar'!M:M,MATCH($B85,'Mr Sandeep Kumar'!$B:$B,0)),IFERROR(INDEX('Mr Manu Vikraman'!M:M,MATCH($B85,'Mr Manu Vikraman'!$B:$B,0)),""))</f>
        <v/>
      </c>
      <c r="N85" s="128" t="str">
        <f t="array" ref="N85">IFERROR(INDEX('Mr Sandeep Kumar'!N:N,MATCH($B85,'Mr Sandeep Kumar'!$B:$B,0)),IFERROR(INDEX('Mr Manu Vikraman'!N:N,MATCH($B85,'Mr Manu Vikraman'!$B:$B,0)),""))</f>
        <v/>
      </c>
      <c r="O85" s="128" t="str">
        <f t="array" ref="O85">IFERROR(INDEX('Mr Sandeep Kumar'!O:O,MATCH($B85,'Mr Sandeep Kumar'!$B:$B,0)),IFERROR(INDEX('Mr Manu Vikraman'!O:O,MATCH($B85,'Mr Manu Vikraman'!$B:$B,0)),""))</f>
        <v/>
      </c>
      <c r="P85" s="128" t="str">
        <f t="array" ref="P85">IFERROR(INDEX('Mr Sandeep Kumar'!P:P,MATCH($B85,'Mr Sandeep Kumar'!$B:$B,0)),IFERROR(INDEX('Mr Manu Vikraman'!P:P,MATCH($B85,'Mr Manu Vikraman'!$B:$B,0)),""))</f>
        <v/>
      </c>
      <c r="Q85" s="129">
        <f t="shared" si="1"/>
        <v>0</v>
      </c>
      <c r="R85" s="130">
        <f t="shared" si="2"/>
        <v>0</v>
      </c>
      <c r="S85" s="131" t="str">
        <f t="shared" si="3"/>
        <v>D</v>
      </c>
      <c r="T85" s="131" t="str">
        <f t="shared" si="4"/>
        <v>Not Started</v>
      </c>
      <c r="U85" s="132"/>
    </row>
    <row r="86" ht="21.75" customHeight="1">
      <c r="A86" s="125">
        <v>80.0</v>
      </c>
      <c r="B86" s="96" t="s">
        <v>414</v>
      </c>
      <c r="C86" s="97" t="s">
        <v>415</v>
      </c>
      <c r="D86" s="97" t="s">
        <v>416</v>
      </c>
      <c r="E86" s="126"/>
      <c r="F86" s="127"/>
      <c r="G86" s="128" t="str">
        <f t="array" ref="G86">IFERROR(INDEX('Mr Sandeep Kumar'!G:G,MATCH($B86,'Mr Sandeep Kumar'!$B:$B,0)),IFERROR(INDEX('Mr Manu Vikraman'!G:G,MATCH($B86,'Mr Manu Vikraman'!$B:$B,0)),""))</f>
        <v/>
      </c>
      <c r="H86" s="128" t="str">
        <f t="array" ref="H86">IFERROR(INDEX('Mr Sandeep Kumar'!H:H,MATCH($B86,'Mr Sandeep Kumar'!$B:$B,0)),IFERROR(INDEX('Mr Manu Vikraman'!H:H,MATCH($B86,'Mr Manu Vikraman'!$B:$B,0)),""))</f>
        <v/>
      </c>
      <c r="I86" s="128" t="str">
        <f t="array" ref="I86">IFERROR(INDEX('Mr Sandeep Kumar'!I:I,MATCH($B86,'Mr Sandeep Kumar'!$B:$B,0)),IFERROR(INDEX('Mr Manu Vikraman'!I:I,MATCH($B86,'Mr Manu Vikraman'!$B:$B,0)),""))</f>
        <v/>
      </c>
      <c r="J86" s="128" t="str">
        <f t="array" ref="J86">IFERROR(INDEX('Mr Sandeep Kumar'!J:J,MATCH($B86,'Mr Sandeep Kumar'!$B:$B,0)),IFERROR(INDEX('Mr Manu Vikraman'!J:J,MATCH($B86,'Mr Manu Vikraman'!$B:$B,0)),""))</f>
        <v/>
      </c>
      <c r="K86" s="128" t="str">
        <f t="array" ref="K86">IFERROR(INDEX('Mr Sandeep Kumar'!K:K,MATCH($B86,'Mr Sandeep Kumar'!$B:$B,0)),IFERROR(INDEX('Mr Manu Vikraman'!K:K,MATCH($B86,'Mr Manu Vikraman'!$B:$B,0)),""))</f>
        <v/>
      </c>
      <c r="L86" s="128" t="str">
        <f t="array" ref="L86">IFERROR(INDEX('Mr Sandeep Kumar'!L:L,MATCH($B86,'Mr Sandeep Kumar'!$B:$B,0)),IFERROR(INDEX('Mr Manu Vikraman'!L:L,MATCH($B86,'Mr Manu Vikraman'!$B:$B,0)),""))</f>
        <v/>
      </c>
      <c r="M86" s="128" t="str">
        <f t="array" ref="M86">IFERROR(INDEX('Mr Sandeep Kumar'!M:M,MATCH($B86,'Mr Sandeep Kumar'!$B:$B,0)),IFERROR(INDEX('Mr Manu Vikraman'!M:M,MATCH($B86,'Mr Manu Vikraman'!$B:$B,0)),""))</f>
        <v/>
      </c>
      <c r="N86" s="128" t="str">
        <f t="array" ref="N86">IFERROR(INDEX('Mr Sandeep Kumar'!N:N,MATCH($B86,'Mr Sandeep Kumar'!$B:$B,0)),IFERROR(INDEX('Mr Manu Vikraman'!N:N,MATCH($B86,'Mr Manu Vikraman'!$B:$B,0)),""))</f>
        <v/>
      </c>
      <c r="O86" s="128" t="str">
        <f t="array" ref="O86">IFERROR(INDEX('Mr Sandeep Kumar'!O:O,MATCH($B86,'Mr Sandeep Kumar'!$B:$B,0)),IFERROR(INDEX('Mr Manu Vikraman'!O:O,MATCH($B86,'Mr Manu Vikraman'!$B:$B,0)),""))</f>
        <v/>
      </c>
      <c r="P86" s="128" t="str">
        <f t="array" ref="P86">IFERROR(INDEX('Mr Sandeep Kumar'!P:P,MATCH($B86,'Mr Sandeep Kumar'!$B:$B,0)),IFERROR(INDEX('Mr Manu Vikraman'!P:P,MATCH($B86,'Mr Manu Vikraman'!$B:$B,0)),""))</f>
        <v/>
      </c>
      <c r="Q86" s="129">
        <f t="shared" si="1"/>
        <v>0</v>
      </c>
      <c r="R86" s="130">
        <f t="shared" si="2"/>
        <v>0</v>
      </c>
      <c r="S86" s="131" t="str">
        <f t="shared" si="3"/>
        <v>D</v>
      </c>
      <c r="T86" s="131" t="str">
        <f t="shared" si="4"/>
        <v>Not Started</v>
      </c>
      <c r="U86" s="132"/>
    </row>
    <row r="87" ht="21.75" customHeight="1">
      <c r="A87" s="125">
        <v>81.0</v>
      </c>
      <c r="B87" s="96" t="s">
        <v>427</v>
      </c>
      <c r="C87" s="97" t="s">
        <v>428</v>
      </c>
      <c r="D87" s="97" t="s">
        <v>429</v>
      </c>
      <c r="E87" s="126"/>
      <c r="F87" s="127"/>
      <c r="G87" s="128" t="str">
        <f t="array" ref="G87">IFERROR(INDEX('Mr Sandeep Kumar'!G:G,MATCH($B87,'Mr Sandeep Kumar'!$B:$B,0)),IFERROR(INDEX('Mr Manu Vikraman'!G:G,MATCH($B87,'Mr Manu Vikraman'!$B:$B,0)),""))</f>
        <v/>
      </c>
      <c r="H87" s="128" t="str">
        <f t="array" ref="H87">IFERROR(INDEX('Mr Sandeep Kumar'!H:H,MATCH($B87,'Mr Sandeep Kumar'!$B:$B,0)),IFERROR(INDEX('Mr Manu Vikraman'!H:H,MATCH($B87,'Mr Manu Vikraman'!$B:$B,0)),""))</f>
        <v/>
      </c>
      <c r="I87" s="128" t="str">
        <f t="array" ref="I87">IFERROR(INDEX('Mr Sandeep Kumar'!I:I,MATCH($B87,'Mr Sandeep Kumar'!$B:$B,0)),IFERROR(INDEX('Mr Manu Vikraman'!I:I,MATCH($B87,'Mr Manu Vikraman'!$B:$B,0)),""))</f>
        <v/>
      </c>
      <c r="J87" s="128" t="str">
        <f t="array" ref="J87">IFERROR(INDEX('Mr Sandeep Kumar'!J:J,MATCH($B87,'Mr Sandeep Kumar'!$B:$B,0)),IFERROR(INDEX('Mr Manu Vikraman'!J:J,MATCH($B87,'Mr Manu Vikraman'!$B:$B,0)),""))</f>
        <v/>
      </c>
      <c r="K87" s="128" t="str">
        <f t="array" ref="K87">IFERROR(INDEX('Mr Sandeep Kumar'!K:K,MATCH($B87,'Mr Sandeep Kumar'!$B:$B,0)),IFERROR(INDEX('Mr Manu Vikraman'!K:K,MATCH($B87,'Mr Manu Vikraman'!$B:$B,0)),""))</f>
        <v/>
      </c>
      <c r="L87" s="128" t="str">
        <f t="array" ref="L87">IFERROR(INDEX('Mr Sandeep Kumar'!L:L,MATCH($B87,'Mr Sandeep Kumar'!$B:$B,0)),IFERROR(INDEX('Mr Manu Vikraman'!L:L,MATCH($B87,'Mr Manu Vikraman'!$B:$B,0)),""))</f>
        <v/>
      </c>
      <c r="M87" s="128" t="str">
        <f t="array" ref="M87">IFERROR(INDEX('Mr Sandeep Kumar'!M:M,MATCH($B87,'Mr Sandeep Kumar'!$B:$B,0)),IFERROR(INDEX('Mr Manu Vikraman'!M:M,MATCH($B87,'Mr Manu Vikraman'!$B:$B,0)),""))</f>
        <v/>
      </c>
      <c r="N87" s="128" t="str">
        <f t="array" ref="N87">IFERROR(INDEX('Mr Sandeep Kumar'!N:N,MATCH($B87,'Mr Sandeep Kumar'!$B:$B,0)),IFERROR(INDEX('Mr Manu Vikraman'!N:N,MATCH($B87,'Mr Manu Vikraman'!$B:$B,0)),""))</f>
        <v/>
      </c>
      <c r="O87" s="128" t="str">
        <f t="array" ref="O87">IFERROR(INDEX('Mr Sandeep Kumar'!O:O,MATCH($B87,'Mr Sandeep Kumar'!$B:$B,0)),IFERROR(INDEX('Mr Manu Vikraman'!O:O,MATCH($B87,'Mr Manu Vikraman'!$B:$B,0)),""))</f>
        <v/>
      </c>
      <c r="P87" s="128" t="str">
        <f t="array" ref="P87">IFERROR(INDEX('Mr Sandeep Kumar'!P:P,MATCH($B87,'Mr Sandeep Kumar'!$B:$B,0)),IFERROR(INDEX('Mr Manu Vikraman'!P:P,MATCH($B87,'Mr Manu Vikraman'!$B:$B,0)),""))</f>
        <v/>
      </c>
      <c r="Q87" s="129">
        <f t="shared" si="1"/>
        <v>0</v>
      </c>
      <c r="R87" s="130">
        <f t="shared" si="2"/>
        <v>0</v>
      </c>
      <c r="S87" s="131" t="str">
        <f t="shared" si="3"/>
        <v>D</v>
      </c>
      <c r="T87" s="131" t="str">
        <f t="shared" si="4"/>
        <v>Not Started</v>
      </c>
      <c r="U87" s="132"/>
    </row>
    <row r="88" ht="21.75" customHeight="1">
      <c r="A88" s="125">
        <v>82.0</v>
      </c>
      <c r="B88" s="96" t="s">
        <v>430</v>
      </c>
      <c r="C88" s="97" t="s">
        <v>431</v>
      </c>
      <c r="D88" s="97" t="s">
        <v>432</v>
      </c>
      <c r="E88" s="126"/>
      <c r="F88" s="127"/>
      <c r="G88" s="128" t="str">
        <f t="array" ref="G88">IFERROR(INDEX('Mr Sandeep Kumar'!G:G,MATCH($B88,'Mr Sandeep Kumar'!$B:$B,0)),IFERROR(INDEX('Mr Manu Vikraman'!G:G,MATCH($B88,'Mr Manu Vikraman'!$B:$B,0)),""))</f>
        <v/>
      </c>
      <c r="H88" s="128" t="str">
        <f t="array" ref="H88">IFERROR(INDEX('Mr Sandeep Kumar'!H:H,MATCH($B88,'Mr Sandeep Kumar'!$B:$B,0)),IFERROR(INDEX('Mr Manu Vikraman'!H:H,MATCH($B88,'Mr Manu Vikraman'!$B:$B,0)),""))</f>
        <v/>
      </c>
      <c r="I88" s="128" t="str">
        <f t="array" ref="I88">IFERROR(INDEX('Mr Sandeep Kumar'!I:I,MATCH($B88,'Mr Sandeep Kumar'!$B:$B,0)),IFERROR(INDEX('Mr Manu Vikraman'!I:I,MATCH($B88,'Mr Manu Vikraman'!$B:$B,0)),""))</f>
        <v/>
      </c>
      <c r="J88" s="128" t="str">
        <f t="array" ref="J88">IFERROR(INDEX('Mr Sandeep Kumar'!J:J,MATCH($B88,'Mr Sandeep Kumar'!$B:$B,0)),IFERROR(INDEX('Mr Manu Vikraman'!J:J,MATCH($B88,'Mr Manu Vikraman'!$B:$B,0)),""))</f>
        <v/>
      </c>
      <c r="K88" s="128" t="str">
        <f t="array" ref="K88">IFERROR(INDEX('Mr Sandeep Kumar'!K:K,MATCH($B88,'Mr Sandeep Kumar'!$B:$B,0)),IFERROR(INDEX('Mr Manu Vikraman'!K:K,MATCH($B88,'Mr Manu Vikraman'!$B:$B,0)),""))</f>
        <v/>
      </c>
      <c r="L88" s="128" t="str">
        <f t="array" ref="L88">IFERROR(INDEX('Mr Sandeep Kumar'!L:L,MATCH($B88,'Mr Sandeep Kumar'!$B:$B,0)),IFERROR(INDEX('Mr Manu Vikraman'!L:L,MATCH($B88,'Mr Manu Vikraman'!$B:$B,0)),""))</f>
        <v/>
      </c>
      <c r="M88" s="128" t="str">
        <f t="array" ref="M88">IFERROR(INDEX('Mr Sandeep Kumar'!M:M,MATCH($B88,'Mr Sandeep Kumar'!$B:$B,0)),IFERROR(INDEX('Mr Manu Vikraman'!M:M,MATCH($B88,'Mr Manu Vikraman'!$B:$B,0)),""))</f>
        <v/>
      </c>
      <c r="N88" s="128" t="str">
        <f t="array" ref="N88">IFERROR(INDEX('Mr Sandeep Kumar'!N:N,MATCH($B88,'Mr Sandeep Kumar'!$B:$B,0)),IFERROR(INDEX('Mr Manu Vikraman'!N:N,MATCH($B88,'Mr Manu Vikraman'!$B:$B,0)),""))</f>
        <v/>
      </c>
      <c r="O88" s="128" t="str">
        <f t="array" ref="O88">IFERROR(INDEX('Mr Sandeep Kumar'!O:O,MATCH($B88,'Mr Sandeep Kumar'!$B:$B,0)),IFERROR(INDEX('Mr Manu Vikraman'!O:O,MATCH($B88,'Mr Manu Vikraman'!$B:$B,0)),""))</f>
        <v/>
      </c>
      <c r="P88" s="128" t="str">
        <f t="array" ref="P88">IFERROR(INDEX('Mr Sandeep Kumar'!P:P,MATCH($B88,'Mr Sandeep Kumar'!$B:$B,0)),IFERROR(INDEX('Mr Manu Vikraman'!P:P,MATCH($B88,'Mr Manu Vikraman'!$B:$B,0)),""))</f>
        <v/>
      </c>
      <c r="Q88" s="129">
        <f t="shared" si="1"/>
        <v>0</v>
      </c>
      <c r="R88" s="130">
        <f t="shared" si="2"/>
        <v>0</v>
      </c>
      <c r="S88" s="131" t="str">
        <f t="shared" si="3"/>
        <v>D</v>
      </c>
      <c r="T88" s="131" t="str">
        <f t="shared" si="4"/>
        <v>Not Started</v>
      </c>
      <c r="U88" s="132"/>
    </row>
    <row r="89" ht="21.75" customHeight="1">
      <c r="A89" s="125">
        <v>83.0</v>
      </c>
      <c r="B89" s="96" t="s">
        <v>433</v>
      </c>
      <c r="C89" s="97" t="s">
        <v>434</v>
      </c>
      <c r="D89" s="97" t="s">
        <v>435</v>
      </c>
      <c r="E89" s="126"/>
      <c r="F89" s="127"/>
      <c r="G89" s="128" t="str">
        <f t="array" ref="G89">IFERROR(INDEX('Mr Sandeep Kumar'!G:G,MATCH($B89,'Mr Sandeep Kumar'!$B:$B,0)),IFERROR(INDEX('Mr Manu Vikraman'!G:G,MATCH($B89,'Mr Manu Vikraman'!$B:$B,0)),""))</f>
        <v/>
      </c>
      <c r="H89" s="128" t="str">
        <f t="array" ref="H89">IFERROR(INDEX('Mr Sandeep Kumar'!H:H,MATCH($B89,'Mr Sandeep Kumar'!$B:$B,0)),IFERROR(INDEX('Mr Manu Vikraman'!H:H,MATCH($B89,'Mr Manu Vikraman'!$B:$B,0)),""))</f>
        <v/>
      </c>
      <c r="I89" s="128" t="str">
        <f t="array" ref="I89">IFERROR(INDEX('Mr Sandeep Kumar'!I:I,MATCH($B89,'Mr Sandeep Kumar'!$B:$B,0)),IFERROR(INDEX('Mr Manu Vikraman'!I:I,MATCH($B89,'Mr Manu Vikraman'!$B:$B,0)),""))</f>
        <v/>
      </c>
      <c r="J89" s="128" t="str">
        <f t="array" ref="J89">IFERROR(INDEX('Mr Sandeep Kumar'!J:J,MATCH($B89,'Mr Sandeep Kumar'!$B:$B,0)),IFERROR(INDEX('Mr Manu Vikraman'!J:J,MATCH($B89,'Mr Manu Vikraman'!$B:$B,0)),""))</f>
        <v/>
      </c>
      <c r="K89" s="128" t="str">
        <f t="array" ref="K89">IFERROR(INDEX('Mr Sandeep Kumar'!K:K,MATCH($B89,'Mr Sandeep Kumar'!$B:$B,0)),IFERROR(INDEX('Mr Manu Vikraman'!K:K,MATCH($B89,'Mr Manu Vikraman'!$B:$B,0)),""))</f>
        <v/>
      </c>
      <c r="L89" s="128" t="str">
        <f t="array" ref="L89">IFERROR(INDEX('Mr Sandeep Kumar'!L:L,MATCH($B89,'Mr Sandeep Kumar'!$B:$B,0)),IFERROR(INDEX('Mr Manu Vikraman'!L:L,MATCH($B89,'Mr Manu Vikraman'!$B:$B,0)),""))</f>
        <v/>
      </c>
      <c r="M89" s="128" t="str">
        <f t="array" ref="M89">IFERROR(INDEX('Mr Sandeep Kumar'!M:M,MATCH($B89,'Mr Sandeep Kumar'!$B:$B,0)),IFERROR(INDEX('Mr Manu Vikraman'!M:M,MATCH($B89,'Mr Manu Vikraman'!$B:$B,0)),""))</f>
        <v/>
      </c>
      <c r="N89" s="128" t="str">
        <f t="array" ref="N89">IFERROR(INDEX('Mr Sandeep Kumar'!N:N,MATCH($B89,'Mr Sandeep Kumar'!$B:$B,0)),IFERROR(INDEX('Mr Manu Vikraman'!N:N,MATCH($B89,'Mr Manu Vikraman'!$B:$B,0)),""))</f>
        <v/>
      </c>
      <c r="O89" s="128" t="str">
        <f t="array" ref="O89">IFERROR(INDEX('Mr Sandeep Kumar'!O:O,MATCH($B89,'Mr Sandeep Kumar'!$B:$B,0)),IFERROR(INDEX('Mr Manu Vikraman'!O:O,MATCH($B89,'Mr Manu Vikraman'!$B:$B,0)),""))</f>
        <v/>
      </c>
      <c r="P89" s="128" t="str">
        <f t="array" ref="P89">IFERROR(INDEX('Mr Sandeep Kumar'!P:P,MATCH($B89,'Mr Sandeep Kumar'!$B:$B,0)),IFERROR(INDEX('Mr Manu Vikraman'!P:P,MATCH($B89,'Mr Manu Vikraman'!$B:$B,0)),""))</f>
        <v/>
      </c>
      <c r="Q89" s="129">
        <f t="shared" si="1"/>
        <v>0</v>
      </c>
      <c r="R89" s="130">
        <f t="shared" si="2"/>
        <v>0</v>
      </c>
      <c r="S89" s="131" t="str">
        <f t="shared" si="3"/>
        <v>D</v>
      </c>
      <c r="T89" s="131" t="str">
        <f t="shared" si="4"/>
        <v>Not Started</v>
      </c>
      <c r="U89" s="132"/>
    </row>
    <row r="90" ht="21.75" customHeight="1">
      <c r="A90" s="125">
        <v>84.0</v>
      </c>
      <c r="B90" s="96" t="s">
        <v>436</v>
      </c>
      <c r="C90" s="97" t="s">
        <v>437</v>
      </c>
      <c r="D90" s="97" t="s">
        <v>438</v>
      </c>
      <c r="E90" s="126"/>
      <c r="F90" s="127"/>
      <c r="G90" s="128" t="str">
        <f t="array" ref="G90">IFERROR(INDEX('Mr Sandeep Kumar'!G:G,MATCH($B90,'Mr Sandeep Kumar'!$B:$B,0)),IFERROR(INDEX('Mr Manu Vikraman'!G:G,MATCH($B90,'Mr Manu Vikraman'!$B:$B,0)),""))</f>
        <v/>
      </c>
      <c r="H90" s="128" t="str">
        <f t="array" ref="H90">IFERROR(INDEX('Mr Sandeep Kumar'!H:H,MATCH($B90,'Mr Sandeep Kumar'!$B:$B,0)),IFERROR(INDEX('Mr Manu Vikraman'!H:H,MATCH($B90,'Mr Manu Vikraman'!$B:$B,0)),""))</f>
        <v/>
      </c>
      <c r="I90" s="128" t="str">
        <f t="array" ref="I90">IFERROR(INDEX('Mr Sandeep Kumar'!I:I,MATCH($B90,'Mr Sandeep Kumar'!$B:$B,0)),IFERROR(INDEX('Mr Manu Vikraman'!I:I,MATCH($B90,'Mr Manu Vikraman'!$B:$B,0)),""))</f>
        <v/>
      </c>
      <c r="J90" s="128" t="str">
        <f t="array" ref="J90">IFERROR(INDEX('Mr Sandeep Kumar'!J:J,MATCH($B90,'Mr Sandeep Kumar'!$B:$B,0)),IFERROR(INDEX('Mr Manu Vikraman'!J:J,MATCH($B90,'Mr Manu Vikraman'!$B:$B,0)),""))</f>
        <v/>
      </c>
      <c r="K90" s="128" t="str">
        <f t="array" ref="K90">IFERROR(INDEX('Mr Sandeep Kumar'!K:K,MATCH($B90,'Mr Sandeep Kumar'!$B:$B,0)),IFERROR(INDEX('Mr Manu Vikraman'!K:K,MATCH($B90,'Mr Manu Vikraman'!$B:$B,0)),""))</f>
        <v/>
      </c>
      <c r="L90" s="128" t="str">
        <f t="array" ref="L90">IFERROR(INDEX('Mr Sandeep Kumar'!L:L,MATCH($B90,'Mr Sandeep Kumar'!$B:$B,0)),IFERROR(INDEX('Mr Manu Vikraman'!L:L,MATCH($B90,'Mr Manu Vikraman'!$B:$B,0)),""))</f>
        <v/>
      </c>
      <c r="M90" s="128" t="str">
        <f t="array" ref="M90">IFERROR(INDEX('Mr Sandeep Kumar'!M:M,MATCH($B90,'Mr Sandeep Kumar'!$B:$B,0)),IFERROR(INDEX('Mr Manu Vikraman'!M:M,MATCH($B90,'Mr Manu Vikraman'!$B:$B,0)),""))</f>
        <v/>
      </c>
      <c r="N90" s="128" t="str">
        <f t="array" ref="N90">IFERROR(INDEX('Mr Sandeep Kumar'!N:N,MATCH($B90,'Mr Sandeep Kumar'!$B:$B,0)),IFERROR(INDEX('Mr Manu Vikraman'!N:N,MATCH($B90,'Mr Manu Vikraman'!$B:$B,0)),""))</f>
        <v/>
      </c>
      <c r="O90" s="128" t="str">
        <f t="array" ref="O90">IFERROR(INDEX('Mr Sandeep Kumar'!O:O,MATCH($B90,'Mr Sandeep Kumar'!$B:$B,0)),IFERROR(INDEX('Mr Manu Vikraman'!O:O,MATCH($B90,'Mr Manu Vikraman'!$B:$B,0)),""))</f>
        <v/>
      </c>
      <c r="P90" s="128" t="str">
        <f t="array" ref="P90">IFERROR(INDEX('Mr Sandeep Kumar'!P:P,MATCH($B90,'Mr Sandeep Kumar'!$B:$B,0)),IFERROR(INDEX('Mr Manu Vikraman'!P:P,MATCH($B90,'Mr Manu Vikraman'!$B:$B,0)),""))</f>
        <v/>
      </c>
      <c r="Q90" s="129">
        <f t="shared" si="1"/>
        <v>0</v>
      </c>
      <c r="R90" s="130">
        <f t="shared" si="2"/>
        <v>0</v>
      </c>
      <c r="S90" s="131" t="str">
        <f t="shared" si="3"/>
        <v>D</v>
      </c>
      <c r="T90" s="131" t="str">
        <f t="shared" si="4"/>
        <v>Not Started</v>
      </c>
      <c r="U90" s="132"/>
    </row>
    <row r="91" ht="21.75" customHeight="1">
      <c r="A91" s="125">
        <v>85.0</v>
      </c>
      <c r="B91" s="96" t="s">
        <v>439</v>
      </c>
      <c r="C91" s="97" t="s">
        <v>440</v>
      </c>
      <c r="D91" s="97" t="s">
        <v>441</v>
      </c>
      <c r="E91" s="126"/>
      <c r="F91" s="127"/>
      <c r="G91" s="128" t="str">
        <f t="array" ref="G91">IFERROR(INDEX('Mr Sandeep Kumar'!G:G,MATCH($B91,'Mr Sandeep Kumar'!$B:$B,0)),IFERROR(INDEX('Mr Manu Vikraman'!G:G,MATCH($B91,'Mr Manu Vikraman'!$B:$B,0)),""))</f>
        <v/>
      </c>
      <c r="H91" s="128" t="str">
        <f t="array" ref="H91">IFERROR(INDEX('Mr Sandeep Kumar'!H:H,MATCH($B91,'Mr Sandeep Kumar'!$B:$B,0)),IFERROR(INDEX('Mr Manu Vikraman'!H:H,MATCH($B91,'Mr Manu Vikraman'!$B:$B,0)),""))</f>
        <v/>
      </c>
      <c r="I91" s="128" t="str">
        <f t="array" ref="I91">IFERROR(INDEX('Mr Sandeep Kumar'!I:I,MATCH($B91,'Mr Sandeep Kumar'!$B:$B,0)),IFERROR(INDEX('Mr Manu Vikraman'!I:I,MATCH($B91,'Mr Manu Vikraman'!$B:$B,0)),""))</f>
        <v/>
      </c>
      <c r="J91" s="128" t="str">
        <f t="array" ref="J91">IFERROR(INDEX('Mr Sandeep Kumar'!J:J,MATCH($B91,'Mr Sandeep Kumar'!$B:$B,0)),IFERROR(INDEX('Mr Manu Vikraman'!J:J,MATCH($B91,'Mr Manu Vikraman'!$B:$B,0)),""))</f>
        <v/>
      </c>
      <c r="K91" s="128" t="str">
        <f t="array" ref="K91">IFERROR(INDEX('Mr Sandeep Kumar'!K:K,MATCH($B91,'Mr Sandeep Kumar'!$B:$B,0)),IFERROR(INDEX('Mr Manu Vikraman'!K:K,MATCH($B91,'Mr Manu Vikraman'!$B:$B,0)),""))</f>
        <v/>
      </c>
      <c r="L91" s="128" t="str">
        <f t="array" ref="L91">IFERROR(INDEX('Mr Sandeep Kumar'!L:L,MATCH($B91,'Mr Sandeep Kumar'!$B:$B,0)),IFERROR(INDEX('Mr Manu Vikraman'!L:L,MATCH($B91,'Mr Manu Vikraman'!$B:$B,0)),""))</f>
        <v/>
      </c>
      <c r="M91" s="128" t="str">
        <f t="array" ref="M91">IFERROR(INDEX('Mr Sandeep Kumar'!M:M,MATCH($B91,'Mr Sandeep Kumar'!$B:$B,0)),IFERROR(INDEX('Mr Manu Vikraman'!M:M,MATCH($B91,'Mr Manu Vikraman'!$B:$B,0)),""))</f>
        <v/>
      </c>
      <c r="N91" s="128" t="str">
        <f t="array" ref="N91">IFERROR(INDEX('Mr Sandeep Kumar'!N:N,MATCH($B91,'Mr Sandeep Kumar'!$B:$B,0)),IFERROR(INDEX('Mr Manu Vikraman'!N:N,MATCH($B91,'Mr Manu Vikraman'!$B:$B,0)),""))</f>
        <v/>
      </c>
      <c r="O91" s="128" t="str">
        <f t="array" ref="O91">IFERROR(INDEX('Mr Sandeep Kumar'!O:O,MATCH($B91,'Mr Sandeep Kumar'!$B:$B,0)),IFERROR(INDEX('Mr Manu Vikraman'!O:O,MATCH($B91,'Mr Manu Vikraman'!$B:$B,0)),""))</f>
        <v/>
      </c>
      <c r="P91" s="128" t="str">
        <f t="array" ref="P91">IFERROR(INDEX('Mr Sandeep Kumar'!P:P,MATCH($B91,'Mr Sandeep Kumar'!$B:$B,0)),IFERROR(INDEX('Mr Manu Vikraman'!P:P,MATCH($B91,'Mr Manu Vikraman'!$B:$B,0)),""))</f>
        <v/>
      </c>
      <c r="Q91" s="129">
        <f t="shared" si="1"/>
        <v>0</v>
      </c>
      <c r="R91" s="130">
        <f t="shared" si="2"/>
        <v>0</v>
      </c>
      <c r="S91" s="131" t="str">
        <f t="shared" si="3"/>
        <v>D</v>
      </c>
      <c r="T91" s="131" t="str">
        <f t="shared" si="4"/>
        <v>Not Started</v>
      </c>
      <c r="U91" s="132"/>
    </row>
    <row r="92" ht="21.75" customHeight="1">
      <c r="A92" s="125">
        <v>86.0</v>
      </c>
      <c r="B92" s="96" t="s">
        <v>442</v>
      </c>
      <c r="C92" s="97" t="s">
        <v>443</v>
      </c>
      <c r="D92" s="97" t="s">
        <v>444</v>
      </c>
      <c r="E92" s="126"/>
      <c r="F92" s="127"/>
      <c r="G92" s="128" t="str">
        <f t="array" ref="G92">IFERROR(INDEX('Mr Sandeep Kumar'!G:G,MATCH($B92,'Mr Sandeep Kumar'!$B:$B,0)),IFERROR(INDEX('Mr Manu Vikraman'!G:G,MATCH($B92,'Mr Manu Vikraman'!$B:$B,0)),""))</f>
        <v/>
      </c>
      <c r="H92" s="128" t="str">
        <f t="array" ref="H92">IFERROR(INDEX('Mr Sandeep Kumar'!H:H,MATCH($B92,'Mr Sandeep Kumar'!$B:$B,0)),IFERROR(INDEX('Mr Manu Vikraman'!H:H,MATCH($B92,'Mr Manu Vikraman'!$B:$B,0)),""))</f>
        <v/>
      </c>
      <c r="I92" s="128" t="str">
        <f t="array" ref="I92">IFERROR(INDEX('Mr Sandeep Kumar'!I:I,MATCH($B92,'Mr Sandeep Kumar'!$B:$B,0)),IFERROR(INDEX('Mr Manu Vikraman'!I:I,MATCH($B92,'Mr Manu Vikraman'!$B:$B,0)),""))</f>
        <v/>
      </c>
      <c r="J92" s="128" t="str">
        <f t="array" ref="J92">IFERROR(INDEX('Mr Sandeep Kumar'!J:J,MATCH($B92,'Mr Sandeep Kumar'!$B:$B,0)),IFERROR(INDEX('Mr Manu Vikraman'!J:J,MATCH($B92,'Mr Manu Vikraman'!$B:$B,0)),""))</f>
        <v/>
      </c>
      <c r="K92" s="128" t="str">
        <f t="array" ref="K92">IFERROR(INDEX('Mr Sandeep Kumar'!K:K,MATCH($B92,'Mr Sandeep Kumar'!$B:$B,0)),IFERROR(INDEX('Mr Manu Vikraman'!K:K,MATCH($B92,'Mr Manu Vikraman'!$B:$B,0)),""))</f>
        <v/>
      </c>
      <c r="L92" s="128" t="str">
        <f t="array" ref="L92">IFERROR(INDEX('Mr Sandeep Kumar'!L:L,MATCH($B92,'Mr Sandeep Kumar'!$B:$B,0)),IFERROR(INDEX('Mr Manu Vikraman'!L:L,MATCH($B92,'Mr Manu Vikraman'!$B:$B,0)),""))</f>
        <v/>
      </c>
      <c r="M92" s="128" t="str">
        <f t="array" ref="M92">IFERROR(INDEX('Mr Sandeep Kumar'!M:M,MATCH($B92,'Mr Sandeep Kumar'!$B:$B,0)),IFERROR(INDEX('Mr Manu Vikraman'!M:M,MATCH($B92,'Mr Manu Vikraman'!$B:$B,0)),""))</f>
        <v/>
      </c>
      <c r="N92" s="128" t="str">
        <f t="array" ref="N92">IFERROR(INDEX('Mr Sandeep Kumar'!N:N,MATCH($B92,'Mr Sandeep Kumar'!$B:$B,0)),IFERROR(INDEX('Mr Manu Vikraman'!N:N,MATCH($B92,'Mr Manu Vikraman'!$B:$B,0)),""))</f>
        <v/>
      </c>
      <c r="O92" s="128" t="str">
        <f t="array" ref="O92">IFERROR(INDEX('Mr Sandeep Kumar'!O:O,MATCH($B92,'Mr Sandeep Kumar'!$B:$B,0)),IFERROR(INDEX('Mr Manu Vikraman'!O:O,MATCH($B92,'Mr Manu Vikraman'!$B:$B,0)),""))</f>
        <v/>
      </c>
      <c r="P92" s="128" t="str">
        <f t="array" ref="P92">IFERROR(INDEX('Mr Sandeep Kumar'!P:P,MATCH($B92,'Mr Sandeep Kumar'!$B:$B,0)),IFERROR(INDEX('Mr Manu Vikraman'!P:P,MATCH($B92,'Mr Manu Vikraman'!$B:$B,0)),""))</f>
        <v/>
      </c>
      <c r="Q92" s="129">
        <f t="shared" si="1"/>
        <v>0</v>
      </c>
      <c r="R92" s="130">
        <f t="shared" si="2"/>
        <v>0</v>
      </c>
      <c r="S92" s="131" t="str">
        <f t="shared" si="3"/>
        <v>D</v>
      </c>
      <c r="T92" s="131" t="str">
        <f t="shared" si="4"/>
        <v>Not Started</v>
      </c>
      <c r="U92" s="132"/>
    </row>
    <row r="93" ht="21.75" customHeight="1">
      <c r="A93" s="125">
        <v>87.0</v>
      </c>
      <c r="B93" s="96" t="s">
        <v>445</v>
      </c>
      <c r="C93" s="97" t="s">
        <v>446</v>
      </c>
      <c r="D93" s="97" t="s">
        <v>447</v>
      </c>
      <c r="E93" s="126"/>
      <c r="F93" s="127"/>
      <c r="G93" s="128" t="str">
        <f t="array" ref="G93">IFERROR(INDEX('Mr Sandeep Kumar'!G:G,MATCH($B93,'Mr Sandeep Kumar'!$B:$B,0)),IFERROR(INDEX('Mr Manu Vikraman'!G:G,MATCH($B93,'Mr Manu Vikraman'!$B:$B,0)),""))</f>
        <v/>
      </c>
      <c r="H93" s="128" t="str">
        <f t="array" ref="H93">IFERROR(INDEX('Mr Sandeep Kumar'!H:H,MATCH($B93,'Mr Sandeep Kumar'!$B:$B,0)),IFERROR(INDEX('Mr Manu Vikraman'!H:H,MATCH($B93,'Mr Manu Vikraman'!$B:$B,0)),""))</f>
        <v/>
      </c>
      <c r="I93" s="128" t="str">
        <f t="array" ref="I93">IFERROR(INDEX('Mr Sandeep Kumar'!I:I,MATCH($B93,'Mr Sandeep Kumar'!$B:$B,0)),IFERROR(INDEX('Mr Manu Vikraman'!I:I,MATCH($B93,'Mr Manu Vikraman'!$B:$B,0)),""))</f>
        <v/>
      </c>
      <c r="J93" s="128" t="str">
        <f t="array" ref="J93">IFERROR(INDEX('Mr Sandeep Kumar'!J:J,MATCH($B93,'Mr Sandeep Kumar'!$B:$B,0)),IFERROR(INDEX('Mr Manu Vikraman'!J:J,MATCH($B93,'Mr Manu Vikraman'!$B:$B,0)),""))</f>
        <v/>
      </c>
      <c r="K93" s="128" t="str">
        <f t="array" ref="K93">IFERROR(INDEX('Mr Sandeep Kumar'!K:K,MATCH($B93,'Mr Sandeep Kumar'!$B:$B,0)),IFERROR(INDEX('Mr Manu Vikraman'!K:K,MATCH($B93,'Mr Manu Vikraman'!$B:$B,0)),""))</f>
        <v/>
      </c>
      <c r="L93" s="128" t="str">
        <f t="array" ref="L93">IFERROR(INDEX('Mr Sandeep Kumar'!L:L,MATCH($B93,'Mr Sandeep Kumar'!$B:$B,0)),IFERROR(INDEX('Mr Manu Vikraman'!L:L,MATCH($B93,'Mr Manu Vikraman'!$B:$B,0)),""))</f>
        <v/>
      </c>
      <c r="M93" s="128" t="str">
        <f t="array" ref="M93">IFERROR(INDEX('Mr Sandeep Kumar'!M:M,MATCH($B93,'Mr Sandeep Kumar'!$B:$B,0)),IFERROR(INDEX('Mr Manu Vikraman'!M:M,MATCH($B93,'Mr Manu Vikraman'!$B:$B,0)),""))</f>
        <v/>
      </c>
      <c r="N93" s="128" t="str">
        <f t="array" ref="N93">IFERROR(INDEX('Mr Sandeep Kumar'!N:N,MATCH($B93,'Mr Sandeep Kumar'!$B:$B,0)),IFERROR(INDEX('Mr Manu Vikraman'!N:N,MATCH($B93,'Mr Manu Vikraman'!$B:$B,0)),""))</f>
        <v/>
      </c>
      <c r="O93" s="128" t="str">
        <f t="array" ref="O93">IFERROR(INDEX('Mr Sandeep Kumar'!O:O,MATCH($B93,'Mr Sandeep Kumar'!$B:$B,0)),IFERROR(INDEX('Mr Manu Vikraman'!O:O,MATCH($B93,'Mr Manu Vikraman'!$B:$B,0)),""))</f>
        <v/>
      </c>
      <c r="P93" s="128" t="str">
        <f t="array" ref="P93">IFERROR(INDEX('Mr Sandeep Kumar'!P:P,MATCH($B93,'Mr Sandeep Kumar'!$B:$B,0)),IFERROR(INDEX('Mr Manu Vikraman'!P:P,MATCH($B93,'Mr Manu Vikraman'!$B:$B,0)),""))</f>
        <v/>
      </c>
      <c r="Q93" s="129">
        <f t="shared" si="1"/>
        <v>0</v>
      </c>
      <c r="R93" s="130">
        <f t="shared" si="2"/>
        <v>0</v>
      </c>
      <c r="S93" s="131" t="str">
        <f t="shared" si="3"/>
        <v>D</v>
      </c>
      <c r="T93" s="131" t="str">
        <f t="shared" si="4"/>
        <v>Not Started</v>
      </c>
      <c r="U93" s="132"/>
    </row>
    <row r="94" ht="21.75" customHeight="1">
      <c r="A94" s="125">
        <v>88.0</v>
      </c>
      <c r="B94" s="96" t="s">
        <v>448</v>
      </c>
      <c r="C94" s="97" t="s">
        <v>449</v>
      </c>
      <c r="D94" s="97" t="s">
        <v>450</v>
      </c>
      <c r="E94" s="126"/>
      <c r="F94" s="127"/>
      <c r="G94" s="128" t="str">
        <f t="array" ref="G94">IFERROR(INDEX('Mr Sandeep Kumar'!G:G,MATCH($B94,'Mr Sandeep Kumar'!$B:$B,0)),IFERROR(INDEX('Mr Manu Vikraman'!G:G,MATCH($B94,'Mr Manu Vikraman'!$B:$B,0)),""))</f>
        <v/>
      </c>
      <c r="H94" s="128" t="str">
        <f t="array" ref="H94">IFERROR(INDEX('Mr Sandeep Kumar'!H:H,MATCH($B94,'Mr Sandeep Kumar'!$B:$B,0)),IFERROR(INDEX('Mr Manu Vikraman'!H:H,MATCH($B94,'Mr Manu Vikraman'!$B:$B,0)),""))</f>
        <v/>
      </c>
      <c r="I94" s="128" t="str">
        <f t="array" ref="I94">IFERROR(INDEX('Mr Sandeep Kumar'!I:I,MATCH($B94,'Mr Sandeep Kumar'!$B:$B,0)),IFERROR(INDEX('Mr Manu Vikraman'!I:I,MATCH($B94,'Mr Manu Vikraman'!$B:$B,0)),""))</f>
        <v/>
      </c>
      <c r="J94" s="128" t="str">
        <f t="array" ref="J94">IFERROR(INDEX('Mr Sandeep Kumar'!J:J,MATCH($B94,'Mr Sandeep Kumar'!$B:$B,0)),IFERROR(INDEX('Mr Manu Vikraman'!J:J,MATCH($B94,'Mr Manu Vikraman'!$B:$B,0)),""))</f>
        <v/>
      </c>
      <c r="K94" s="128" t="str">
        <f t="array" ref="K94">IFERROR(INDEX('Mr Sandeep Kumar'!K:K,MATCH($B94,'Mr Sandeep Kumar'!$B:$B,0)),IFERROR(INDEX('Mr Manu Vikraman'!K:K,MATCH($B94,'Mr Manu Vikraman'!$B:$B,0)),""))</f>
        <v/>
      </c>
      <c r="L94" s="128" t="str">
        <f t="array" ref="L94">IFERROR(INDEX('Mr Sandeep Kumar'!L:L,MATCH($B94,'Mr Sandeep Kumar'!$B:$B,0)),IFERROR(INDEX('Mr Manu Vikraman'!L:L,MATCH($B94,'Mr Manu Vikraman'!$B:$B,0)),""))</f>
        <v/>
      </c>
      <c r="M94" s="128" t="str">
        <f t="array" ref="M94">IFERROR(INDEX('Mr Sandeep Kumar'!M:M,MATCH($B94,'Mr Sandeep Kumar'!$B:$B,0)),IFERROR(INDEX('Mr Manu Vikraman'!M:M,MATCH($B94,'Mr Manu Vikraman'!$B:$B,0)),""))</f>
        <v/>
      </c>
      <c r="N94" s="128" t="str">
        <f t="array" ref="N94">IFERROR(INDEX('Mr Sandeep Kumar'!N:N,MATCH($B94,'Mr Sandeep Kumar'!$B:$B,0)),IFERROR(INDEX('Mr Manu Vikraman'!N:N,MATCH($B94,'Mr Manu Vikraman'!$B:$B,0)),""))</f>
        <v/>
      </c>
      <c r="O94" s="128" t="str">
        <f t="array" ref="O94">IFERROR(INDEX('Mr Sandeep Kumar'!O:O,MATCH($B94,'Mr Sandeep Kumar'!$B:$B,0)),IFERROR(INDEX('Mr Manu Vikraman'!O:O,MATCH($B94,'Mr Manu Vikraman'!$B:$B,0)),""))</f>
        <v/>
      </c>
      <c r="P94" s="128" t="str">
        <f t="array" ref="P94">IFERROR(INDEX('Mr Sandeep Kumar'!P:P,MATCH($B94,'Mr Sandeep Kumar'!$B:$B,0)),IFERROR(INDEX('Mr Manu Vikraman'!P:P,MATCH($B94,'Mr Manu Vikraman'!$B:$B,0)),""))</f>
        <v/>
      </c>
      <c r="Q94" s="129">
        <f t="shared" si="1"/>
        <v>0</v>
      </c>
      <c r="R94" s="130">
        <f t="shared" si="2"/>
        <v>0</v>
      </c>
      <c r="S94" s="131" t="str">
        <f t="shared" si="3"/>
        <v>D</v>
      </c>
      <c r="T94" s="131" t="str">
        <f t="shared" si="4"/>
        <v>Not Started</v>
      </c>
      <c r="U94" s="132"/>
    </row>
    <row r="95" ht="21.75" customHeight="1">
      <c r="A95" s="125">
        <v>89.0</v>
      </c>
      <c r="B95" s="96" t="s">
        <v>451</v>
      </c>
      <c r="C95" s="97" t="s">
        <v>452</v>
      </c>
      <c r="D95" s="97" t="s">
        <v>453</v>
      </c>
      <c r="E95" s="126"/>
      <c r="F95" s="127"/>
      <c r="G95" s="128" t="str">
        <f t="array" ref="G95">IFERROR(INDEX('Mr Sandeep Kumar'!G:G,MATCH($B95,'Mr Sandeep Kumar'!$B:$B,0)),IFERROR(INDEX('Mr Manu Vikraman'!G:G,MATCH($B95,'Mr Manu Vikraman'!$B:$B,0)),""))</f>
        <v/>
      </c>
      <c r="H95" s="128" t="str">
        <f t="array" ref="H95">IFERROR(INDEX('Mr Sandeep Kumar'!H:H,MATCH($B95,'Mr Sandeep Kumar'!$B:$B,0)),IFERROR(INDEX('Mr Manu Vikraman'!H:H,MATCH($B95,'Mr Manu Vikraman'!$B:$B,0)),""))</f>
        <v/>
      </c>
      <c r="I95" s="128" t="str">
        <f t="array" ref="I95">IFERROR(INDEX('Mr Sandeep Kumar'!I:I,MATCH($B95,'Mr Sandeep Kumar'!$B:$B,0)),IFERROR(INDEX('Mr Manu Vikraman'!I:I,MATCH($B95,'Mr Manu Vikraman'!$B:$B,0)),""))</f>
        <v/>
      </c>
      <c r="J95" s="128" t="str">
        <f t="array" ref="J95">IFERROR(INDEX('Mr Sandeep Kumar'!J:J,MATCH($B95,'Mr Sandeep Kumar'!$B:$B,0)),IFERROR(INDEX('Mr Manu Vikraman'!J:J,MATCH($B95,'Mr Manu Vikraman'!$B:$B,0)),""))</f>
        <v/>
      </c>
      <c r="K95" s="128" t="str">
        <f t="array" ref="K95">IFERROR(INDEX('Mr Sandeep Kumar'!K:K,MATCH($B95,'Mr Sandeep Kumar'!$B:$B,0)),IFERROR(INDEX('Mr Manu Vikraman'!K:K,MATCH($B95,'Mr Manu Vikraman'!$B:$B,0)),""))</f>
        <v/>
      </c>
      <c r="L95" s="128" t="str">
        <f t="array" ref="L95">IFERROR(INDEX('Mr Sandeep Kumar'!L:L,MATCH($B95,'Mr Sandeep Kumar'!$B:$B,0)),IFERROR(INDEX('Mr Manu Vikraman'!L:L,MATCH($B95,'Mr Manu Vikraman'!$B:$B,0)),""))</f>
        <v/>
      </c>
      <c r="M95" s="128" t="str">
        <f t="array" ref="M95">IFERROR(INDEX('Mr Sandeep Kumar'!M:M,MATCH($B95,'Mr Sandeep Kumar'!$B:$B,0)),IFERROR(INDEX('Mr Manu Vikraman'!M:M,MATCH($B95,'Mr Manu Vikraman'!$B:$B,0)),""))</f>
        <v/>
      </c>
      <c r="N95" s="128" t="str">
        <f t="array" ref="N95">IFERROR(INDEX('Mr Sandeep Kumar'!N:N,MATCH($B95,'Mr Sandeep Kumar'!$B:$B,0)),IFERROR(INDEX('Mr Manu Vikraman'!N:N,MATCH($B95,'Mr Manu Vikraman'!$B:$B,0)),""))</f>
        <v/>
      </c>
      <c r="O95" s="128" t="str">
        <f t="array" ref="O95">IFERROR(INDEX('Mr Sandeep Kumar'!O:O,MATCH($B95,'Mr Sandeep Kumar'!$B:$B,0)),IFERROR(INDEX('Mr Manu Vikraman'!O:O,MATCH($B95,'Mr Manu Vikraman'!$B:$B,0)),""))</f>
        <v/>
      </c>
      <c r="P95" s="128" t="str">
        <f t="array" ref="P95">IFERROR(INDEX('Mr Sandeep Kumar'!P:P,MATCH($B95,'Mr Sandeep Kumar'!$B:$B,0)),IFERROR(INDEX('Mr Manu Vikraman'!P:P,MATCH($B95,'Mr Manu Vikraman'!$B:$B,0)),""))</f>
        <v/>
      </c>
      <c r="Q95" s="129">
        <f t="shared" si="1"/>
        <v>0</v>
      </c>
      <c r="R95" s="130">
        <f t="shared" si="2"/>
        <v>0</v>
      </c>
      <c r="S95" s="131" t="str">
        <f t="shared" si="3"/>
        <v>D</v>
      </c>
      <c r="T95" s="131" t="str">
        <f t="shared" si="4"/>
        <v>Not Started</v>
      </c>
      <c r="U95" s="132"/>
    </row>
    <row r="96" ht="21.75" customHeight="1">
      <c r="A96" s="125">
        <v>90.0</v>
      </c>
      <c r="B96" s="96" t="s">
        <v>454</v>
      </c>
      <c r="C96" s="97" t="s">
        <v>455</v>
      </c>
      <c r="D96" s="97" t="s">
        <v>456</v>
      </c>
      <c r="E96" s="126"/>
      <c r="F96" s="127"/>
      <c r="G96" s="128" t="str">
        <f t="array" ref="G96">IFERROR(INDEX('Mr Sandeep Kumar'!G:G,MATCH($B96,'Mr Sandeep Kumar'!$B:$B,0)),IFERROR(INDEX('Mr Manu Vikraman'!G:G,MATCH($B96,'Mr Manu Vikraman'!$B:$B,0)),""))</f>
        <v/>
      </c>
      <c r="H96" s="128" t="str">
        <f t="array" ref="H96">IFERROR(INDEX('Mr Sandeep Kumar'!H:H,MATCH($B96,'Mr Sandeep Kumar'!$B:$B,0)),IFERROR(INDEX('Mr Manu Vikraman'!H:H,MATCH($B96,'Mr Manu Vikraman'!$B:$B,0)),""))</f>
        <v/>
      </c>
      <c r="I96" s="128" t="str">
        <f t="array" ref="I96">IFERROR(INDEX('Mr Sandeep Kumar'!I:I,MATCH($B96,'Mr Sandeep Kumar'!$B:$B,0)),IFERROR(INDEX('Mr Manu Vikraman'!I:I,MATCH($B96,'Mr Manu Vikraman'!$B:$B,0)),""))</f>
        <v/>
      </c>
      <c r="J96" s="128" t="str">
        <f t="array" ref="J96">IFERROR(INDEX('Mr Sandeep Kumar'!J:J,MATCH($B96,'Mr Sandeep Kumar'!$B:$B,0)),IFERROR(INDEX('Mr Manu Vikraman'!J:J,MATCH($B96,'Mr Manu Vikraman'!$B:$B,0)),""))</f>
        <v/>
      </c>
      <c r="K96" s="128" t="str">
        <f t="array" ref="K96">IFERROR(INDEX('Mr Sandeep Kumar'!K:K,MATCH($B96,'Mr Sandeep Kumar'!$B:$B,0)),IFERROR(INDEX('Mr Manu Vikraman'!K:K,MATCH($B96,'Mr Manu Vikraman'!$B:$B,0)),""))</f>
        <v/>
      </c>
      <c r="L96" s="128" t="str">
        <f t="array" ref="L96">IFERROR(INDEX('Mr Sandeep Kumar'!L:L,MATCH($B96,'Mr Sandeep Kumar'!$B:$B,0)),IFERROR(INDEX('Mr Manu Vikraman'!L:L,MATCH($B96,'Mr Manu Vikraman'!$B:$B,0)),""))</f>
        <v/>
      </c>
      <c r="M96" s="128" t="str">
        <f t="array" ref="M96">IFERROR(INDEX('Mr Sandeep Kumar'!M:M,MATCH($B96,'Mr Sandeep Kumar'!$B:$B,0)),IFERROR(INDEX('Mr Manu Vikraman'!M:M,MATCH($B96,'Mr Manu Vikraman'!$B:$B,0)),""))</f>
        <v/>
      </c>
      <c r="N96" s="128" t="str">
        <f t="array" ref="N96">IFERROR(INDEX('Mr Sandeep Kumar'!N:N,MATCH($B96,'Mr Sandeep Kumar'!$B:$B,0)),IFERROR(INDEX('Mr Manu Vikraman'!N:N,MATCH($B96,'Mr Manu Vikraman'!$B:$B,0)),""))</f>
        <v/>
      </c>
      <c r="O96" s="128" t="str">
        <f t="array" ref="O96">IFERROR(INDEX('Mr Sandeep Kumar'!O:O,MATCH($B96,'Mr Sandeep Kumar'!$B:$B,0)),IFERROR(INDEX('Mr Manu Vikraman'!O:O,MATCH($B96,'Mr Manu Vikraman'!$B:$B,0)),""))</f>
        <v/>
      </c>
      <c r="P96" s="128" t="str">
        <f t="array" ref="P96">IFERROR(INDEX('Mr Sandeep Kumar'!P:P,MATCH($B96,'Mr Sandeep Kumar'!$B:$B,0)),IFERROR(INDEX('Mr Manu Vikraman'!P:P,MATCH($B96,'Mr Manu Vikraman'!$B:$B,0)),""))</f>
        <v/>
      </c>
      <c r="Q96" s="129">
        <f t="shared" si="1"/>
        <v>0</v>
      </c>
      <c r="R96" s="130">
        <f t="shared" si="2"/>
        <v>0</v>
      </c>
      <c r="S96" s="131" t="str">
        <f t="shared" si="3"/>
        <v>D</v>
      </c>
      <c r="T96" s="131" t="str">
        <f t="shared" si="4"/>
        <v>Not Started</v>
      </c>
      <c r="U96" s="132"/>
    </row>
    <row r="97" ht="21.75" customHeight="1">
      <c r="A97" s="125">
        <v>91.0</v>
      </c>
      <c r="B97" s="96" t="s">
        <v>457</v>
      </c>
      <c r="C97" s="97" t="s">
        <v>458</v>
      </c>
      <c r="D97" s="97" t="s">
        <v>459</v>
      </c>
      <c r="E97" s="126"/>
      <c r="F97" s="127"/>
      <c r="G97" s="128" t="str">
        <f t="array" ref="G97">IFERROR(INDEX('Mr Sandeep Kumar'!G:G,MATCH($B97,'Mr Sandeep Kumar'!$B:$B,0)),IFERROR(INDEX('Mr Manu Vikraman'!G:G,MATCH($B97,'Mr Manu Vikraman'!$B:$B,0)),""))</f>
        <v/>
      </c>
      <c r="H97" s="128" t="str">
        <f t="array" ref="H97">IFERROR(INDEX('Mr Sandeep Kumar'!H:H,MATCH($B97,'Mr Sandeep Kumar'!$B:$B,0)),IFERROR(INDEX('Mr Manu Vikraman'!H:H,MATCH($B97,'Mr Manu Vikraman'!$B:$B,0)),""))</f>
        <v/>
      </c>
      <c r="I97" s="128" t="str">
        <f t="array" ref="I97">IFERROR(INDEX('Mr Sandeep Kumar'!I:I,MATCH($B97,'Mr Sandeep Kumar'!$B:$B,0)),IFERROR(INDEX('Mr Manu Vikraman'!I:I,MATCH($B97,'Mr Manu Vikraman'!$B:$B,0)),""))</f>
        <v/>
      </c>
      <c r="J97" s="128" t="str">
        <f t="array" ref="J97">IFERROR(INDEX('Mr Sandeep Kumar'!J:J,MATCH($B97,'Mr Sandeep Kumar'!$B:$B,0)),IFERROR(INDEX('Mr Manu Vikraman'!J:J,MATCH($B97,'Mr Manu Vikraman'!$B:$B,0)),""))</f>
        <v/>
      </c>
      <c r="K97" s="128" t="str">
        <f t="array" ref="K97">IFERROR(INDEX('Mr Sandeep Kumar'!K:K,MATCH($B97,'Mr Sandeep Kumar'!$B:$B,0)),IFERROR(INDEX('Mr Manu Vikraman'!K:K,MATCH($B97,'Mr Manu Vikraman'!$B:$B,0)),""))</f>
        <v/>
      </c>
      <c r="L97" s="128" t="str">
        <f t="array" ref="L97">IFERROR(INDEX('Mr Sandeep Kumar'!L:L,MATCH($B97,'Mr Sandeep Kumar'!$B:$B,0)),IFERROR(INDEX('Mr Manu Vikraman'!L:L,MATCH($B97,'Mr Manu Vikraman'!$B:$B,0)),""))</f>
        <v/>
      </c>
      <c r="M97" s="128" t="str">
        <f t="array" ref="M97">IFERROR(INDEX('Mr Sandeep Kumar'!M:M,MATCH($B97,'Mr Sandeep Kumar'!$B:$B,0)),IFERROR(INDEX('Mr Manu Vikraman'!M:M,MATCH($B97,'Mr Manu Vikraman'!$B:$B,0)),""))</f>
        <v/>
      </c>
      <c r="N97" s="128" t="str">
        <f t="array" ref="N97">IFERROR(INDEX('Mr Sandeep Kumar'!N:N,MATCH($B97,'Mr Sandeep Kumar'!$B:$B,0)),IFERROR(INDEX('Mr Manu Vikraman'!N:N,MATCH($B97,'Mr Manu Vikraman'!$B:$B,0)),""))</f>
        <v/>
      </c>
      <c r="O97" s="128" t="str">
        <f t="array" ref="O97">IFERROR(INDEX('Mr Sandeep Kumar'!O:O,MATCH($B97,'Mr Sandeep Kumar'!$B:$B,0)),IFERROR(INDEX('Mr Manu Vikraman'!O:O,MATCH($B97,'Mr Manu Vikraman'!$B:$B,0)),""))</f>
        <v/>
      </c>
      <c r="P97" s="128" t="str">
        <f t="array" ref="P97">IFERROR(INDEX('Mr Sandeep Kumar'!P:P,MATCH($B97,'Mr Sandeep Kumar'!$B:$B,0)),IFERROR(INDEX('Mr Manu Vikraman'!P:P,MATCH($B97,'Mr Manu Vikraman'!$B:$B,0)),""))</f>
        <v/>
      </c>
      <c r="Q97" s="129">
        <f t="shared" si="1"/>
        <v>0</v>
      </c>
      <c r="R97" s="130">
        <f t="shared" si="2"/>
        <v>0</v>
      </c>
      <c r="S97" s="131" t="str">
        <f t="shared" si="3"/>
        <v>D</v>
      </c>
      <c r="T97" s="131" t="str">
        <f t="shared" si="4"/>
        <v>Not Started</v>
      </c>
      <c r="U97" s="132"/>
    </row>
    <row r="98" ht="21.75" customHeight="1">
      <c r="A98" s="125">
        <v>92.0</v>
      </c>
      <c r="B98" s="96" t="s">
        <v>460</v>
      </c>
      <c r="C98" s="97" t="s">
        <v>461</v>
      </c>
      <c r="D98" s="97" t="s">
        <v>462</v>
      </c>
      <c r="E98" s="126"/>
      <c r="F98" s="127"/>
      <c r="G98" s="128" t="str">
        <f t="array" ref="G98">IFERROR(INDEX('Mr Sandeep Kumar'!G:G,MATCH($B98,'Mr Sandeep Kumar'!$B:$B,0)),IFERROR(INDEX('Mr Manu Vikraman'!G:G,MATCH($B98,'Mr Manu Vikraman'!$B:$B,0)),""))</f>
        <v/>
      </c>
      <c r="H98" s="128" t="str">
        <f t="array" ref="H98">IFERROR(INDEX('Mr Sandeep Kumar'!H:H,MATCH($B98,'Mr Sandeep Kumar'!$B:$B,0)),IFERROR(INDEX('Mr Manu Vikraman'!H:H,MATCH($B98,'Mr Manu Vikraman'!$B:$B,0)),""))</f>
        <v/>
      </c>
      <c r="I98" s="128" t="str">
        <f t="array" ref="I98">IFERROR(INDEX('Mr Sandeep Kumar'!I:I,MATCH($B98,'Mr Sandeep Kumar'!$B:$B,0)),IFERROR(INDEX('Mr Manu Vikraman'!I:I,MATCH($B98,'Mr Manu Vikraman'!$B:$B,0)),""))</f>
        <v/>
      </c>
      <c r="J98" s="128" t="str">
        <f t="array" ref="J98">IFERROR(INDEX('Mr Sandeep Kumar'!J:J,MATCH($B98,'Mr Sandeep Kumar'!$B:$B,0)),IFERROR(INDEX('Mr Manu Vikraman'!J:J,MATCH($B98,'Mr Manu Vikraman'!$B:$B,0)),""))</f>
        <v/>
      </c>
      <c r="K98" s="128" t="str">
        <f t="array" ref="K98">IFERROR(INDEX('Mr Sandeep Kumar'!K:K,MATCH($B98,'Mr Sandeep Kumar'!$B:$B,0)),IFERROR(INDEX('Mr Manu Vikraman'!K:K,MATCH($B98,'Mr Manu Vikraman'!$B:$B,0)),""))</f>
        <v/>
      </c>
      <c r="L98" s="128" t="str">
        <f t="array" ref="L98">IFERROR(INDEX('Mr Sandeep Kumar'!L:L,MATCH($B98,'Mr Sandeep Kumar'!$B:$B,0)),IFERROR(INDEX('Mr Manu Vikraman'!L:L,MATCH($B98,'Mr Manu Vikraman'!$B:$B,0)),""))</f>
        <v/>
      </c>
      <c r="M98" s="128" t="str">
        <f t="array" ref="M98">IFERROR(INDEX('Mr Sandeep Kumar'!M:M,MATCH($B98,'Mr Sandeep Kumar'!$B:$B,0)),IFERROR(INDEX('Mr Manu Vikraman'!M:M,MATCH($B98,'Mr Manu Vikraman'!$B:$B,0)),""))</f>
        <v/>
      </c>
      <c r="N98" s="128" t="str">
        <f t="array" ref="N98">IFERROR(INDEX('Mr Sandeep Kumar'!N:N,MATCH($B98,'Mr Sandeep Kumar'!$B:$B,0)),IFERROR(INDEX('Mr Manu Vikraman'!N:N,MATCH($B98,'Mr Manu Vikraman'!$B:$B,0)),""))</f>
        <v/>
      </c>
      <c r="O98" s="128" t="str">
        <f t="array" ref="O98">IFERROR(INDEX('Mr Sandeep Kumar'!O:O,MATCH($B98,'Mr Sandeep Kumar'!$B:$B,0)),IFERROR(INDEX('Mr Manu Vikraman'!O:O,MATCH($B98,'Mr Manu Vikraman'!$B:$B,0)),""))</f>
        <v/>
      </c>
      <c r="P98" s="128" t="str">
        <f t="array" ref="P98">IFERROR(INDEX('Mr Sandeep Kumar'!P:P,MATCH($B98,'Mr Sandeep Kumar'!$B:$B,0)),IFERROR(INDEX('Mr Manu Vikraman'!P:P,MATCH($B98,'Mr Manu Vikraman'!$B:$B,0)),""))</f>
        <v/>
      </c>
      <c r="Q98" s="129">
        <f t="shared" si="1"/>
        <v>0</v>
      </c>
      <c r="R98" s="130">
        <f t="shared" si="2"/>
        <v>0</v>
      </c>
      <c r="S98" s="131" t="str">
        <f t="shared" si="3"/>
        <v>D</v>
      </c>
      <c r="T98" s="131" t="str">
        <f t="shared" si="4"/>
        <v>Not Started</v>
      </c>
      <c r="U98" s="132"/>
    </row>
    <row r="99" ht="21.75" customHeight="1">
      <c r="A99" s="125">
        <v>93.0</v>
      </c>
      <c r="B99" s="96" t="s">
        <v>463</v>
      </c>
      <c r="C99" s="97" t="s">
        <v>464</v>
      </c>
      <c r="D99" s="97" t="s">
        <v>465</v>
      </c>
      <c r="E99" s="126"/>
      <c r="F99" s="127"/>
      <c r="G99" s="128" t="str">
        <f t="array" ref="G99">IFERROR(INDEX('Mr Sandeep Kumar'!G:G,MATCH($B99,'Mr Sandeep Kumar'!$B:$B,0)),IFERROR(INDEX('Mr Manu Vikraman'!G:G,MATCH($B99,'Mr Manu Vikraman'!$B:$B,0)),""))</f>
        <v/>
      </c>
      <c r="H99" s="128" t="str">
        <f t="array" ref="H99">IFERROR(INDEX('Mr Sandeep Kumar'!H:H,MATCH($B99,'Mr Sandeep Kumar'!$B:$B,0)),IFERROR(INDEX('Mr Manu Vikraman'!H:H,MATCH($B99,'Mr Manu Vikraman'!$B:$B,0)),""))</f>
        <v/>
      </c>
      <c r="I99" s="128" t="str">
        <f t="array" ref="I99">IFERROR(INDEX('Mr Sandeep Kumar'!I:I,MATCH($B99,'Mr Sandeep Kumar'!$B:$B,0)),IFERROR(INDEX('Mr Manu Vikraman'!I:I,MATCH($B99,'Mr Manu Vikraman'!$B:$B,0)),""))</f>
        <v/>
      </c>
      <c r="J99" s="128" t="str">
        <f t="array" ref="J99">IFERROR(INDEX('Mr Sandeep Kumar'!J:J,MATCH($B99,'Mr Sandeep Kumar'!$B:$B,0)),IFERROR(INDEX('Mr Manu Vikraman'!J:J,MATCH($B99,'Mr Manu Vikraman'!$B:$B,0)),""))</f>
        <v/>
      </c>
      <c r="K99" s="128" t="str">
        <f t="array" ref="K99">IFERROR(INDEX('Mr Sandeep Kumar'!K:K,MATCH($B99,'Mr Sandeep Kumar'!$B:$B,0)),IFERROR(INDEX('Mr Manu Vikraman'!K:K,MATCH($B99,'Mr Manu Vikraman'!$B:$B,0)),""))</f>
        <v/>
      </c>
      <c r="L99" s="128" t="str">
        <f t="array" ref="L99">IFERROR(INDEX('Mr Sandeep Kumar'!L:L,MATCH($B99,'Mr Sandeep Kumar'!$B:$B,0)),IFERROR(INDEX('Mr Manu Vikraman'!L:L,MATCH($B99,'Mr Manu Vikraman'!$B:$B,0)),""))</f>
        <v/>
      </c>
      <c r="M99" s="128" t="str">
        <f t="array" ref="M99">IFERROR(INDEX('Mr Sandeep Kumar'!M:M,MATCH($B99,'Mr Sandeep Kumar'!$B:$B,0)),IFERROR(INDEX('Mr Manu Vikraman'!M:M,MATCH($B99,'Mr Manu Vikraman'!$B:$B,0)),""))</f>
        <v/>
      </c>
      <c r="N99" s="128" t="str">
        <f t="array" ref="N99">IFERROR(INDEX('Mr Sandeep Kumar'!N:N,MATCH($B99,'Mr Sandeep Kumar'!$B:$B,0)),IFERROR(INDEX('Mr Manu Vikraman'!N:N,MATCH($B99,'Mr Manu Vikraman'!$B:$B,0)),""))</f>
        <v/>
      </c>
      <c r="O99" s="128" t="str">
        <f t="array" ref="O99">IFERROR(INDEX('Mr Sandeep Kumar'!O:O,MATCH($B99,'Mr Sandeep Kumar'!$B:$B,0)),IFERROR(INDEX('Mr Manu Vikraman'!O:O,MATCH($B99,'Mr Manu Vikraman'!$B:$B,0)),""))</f>
        <v/>
      </c>
      <c r="P99" s="128" t="str">
        <f t="array" ref="P99">IFERROR(INDEX('Mr Sandeep Kumar'!P:P,MATCH($B99,'Mr Sandeep Kumar'!$B:$B,0)),IFERROR(INDEX('Mr Manu Vikraman'!P:P,MATCH($B99,'Mr Manu Vikraman'!$B:$B,0)),""))</f>
        <v/>
      </c>
      <c r="Q99" s="129">
        <f t="shared" si="1"/>
        <v>0</v>
      </c>
      <c r="R99" s="130">
        <f t="shared" si="2"/>
        <v>0</v>
      </c>
      <c r="S99" s="131" t="str">
        <f t="shared" si="3"/>
        <v>D</v>
      </c>
      <c r="T99" s="131" t="str">
        <f t="shared" si="4"/>
        <v>Not Started</v>
      </c>
      <c r="U99" s="132"/>
    </row>
    <row r="100" ht="21.75" customHeight="1">
      <c r="A100" s="125">
        <v>94.0</v>
      </c>
      <c r="B100" s="96" t="s">
        <v>466</v>
      </c>
      <c r="C100" s="97" t="s">
        <v>467</v>
      </c>
      <c r="D100" s="97" t="s">
        <v>468</v>
      </c>
      <c r="E100" s="126"/>
      <c r="F100" s="127"/>
      <c r="G100" s="128" t="str">
        <f t="array" ref="G100">IFERROR(INDEX('Mr Sandeep Kumar'!G:G,MATCH($B100,'Mr Sandeep Kumar'!$B:$B,0)),IFERROR(INDEX('Mr Manu Vikraman'!G:G,MATCH($B100,'Mr Manu Vikraman'!$B:$B,0)),""))</f>
        <v/>
      </c>
      <c r="H100" s="128" t="str">
        <f t="array" ref="H100">IFERROR(INDEX('Mr Sandeep Kumar'!H:H,MATCH($B100,'Mr Sandeep Kumar'!$B:$B,0)),IFERROR(INDEX('Mr Manu Vikraman'!H:H,MATCH($B100,'Mr Manu Vikraman'!$B:$B,0)),""))</f>
        <v/>
      </c>
      <c r="I100" s="128" t="str">
        <f t="array" ref="I100">IFERROR(INDEX('Mr Sandeep Kumar'!I:I,MATCH($B100,'Mr Sandeep Kumar'!$B:$B,0)),IFERROR(INDEX('Mr Manu Vikraman'!I:I,MATCH($B100,'Mr Manu Vikraman'!$B:$B,0)),""))</f>
        <v/>
      </c>
      <c r="J100" s="128" t="str">
        <f t="array" ref="J100">IFERROR(INDEX('Mr Sandeep Kumar'!J:J,MATCH($B100,'Mr Sandeep Kumar'!$B:$B,0)),IFERROR(INDEX('Mr Manu Vikraman'!J:J,MATCH($B100,'Mr Manu Vikraman'!$B:$B,0)),""))</f>
        <v/>
      </c>
      <c r="K100" s="128" t="str">
        <f t="array" ref="K100">IFERROR(INDEX('Mr Sandeep Kumar'!K:K,MATCH($B100,'Mr Sandeep Kumar'!$B:$B,0)),IFERROR(INDEX('Mr Manu Vikraman'!K:K,MATCH($B100,'Mr Manu Vikraman'!$B:$B,0)),""))</f>
        <v/>
      </c>
      <c r="L100" s="128" t="str">
        <f t="array" ref="L100">IFERROR(INDEX('Mr Sandeep Kumar'!L:L,MATCH($B100,'Mr Sandeep Kumar'!$B:$B,0)),IFERROR(INDEX('Mr Manu Vikraman'!L:L,MATCH($B100,'Mr Manu Vikraman'!$B:$B,0)),""))</f>
        <v/>
      </c>
      <c r="M100" s="128" t="str">
        <f t="array" ref="M100">IFERROR(INDEX('Mr Sandeep Kumar'!M:M,MATCH($B100,'Mr Sandeep Kumar'!$B:$B,0)),IFERROR(INDEX('Mr Manu Vikraman'!M:M,MATCH($B100,'Mr Manu Vikraman'!$B:$B,0)),""))</f>
        <v/>
      </c>
      <c r="N100" s="128" t="str">
        <f t="array" ref="N100">IFERROR(INDEX('Mr Sandeep Kumar'!N:N,MATCH($B100,'Mr Sandeep Kumar'!$B:$B,0)),IFERROR(INDEX('Mr Manu Vikraman'!N:N,MATCH($B100,'Mr Manu Vikraman'!$B:$B,0)),""))</f>
        <v/>
      </c>
      <c r="O100" s="128" t="str">
        <f t="array" ref="O100">IFERROR(INDEX('Mr Sandeep Kumar'!O:O,MATCH($B100,'Mr Sandeep Kumar'!$B:$B,0)),IFERROR(INDEX('Mr Manu Vikraman'!O:O,MATCH($B100,'Mr Manu Vikraman'!$B:$B,0)),""))</f>
        <v/>
      </c>
      <c r="P100" s="128" t="str">
        <f t="array" ref="P100">IFERROR(INDEX('Mr Sandeep Kumar'!P:P,MATCH($B100,'Mr Sandeep Kumar'!$B:$B,0)),IFERROR(INDEX('Mr Manu Vikraman'!P:P,MATCH($B100,'Mr Manu Vikraman'!$B:$B,0)),""))</f>
        <v/>
      </c>
      <c r="Q100" s="129">
        <f t="shared" si="1"/>
        <v>0</v>
      </c>
      <c r="R100" s="130">
        <f t="shared" si="2"/>
        <v>0</v>
      </c>
      <c r="S100" s="131" t="str">
        <f t="shared" si="3"/>
        <v>D</v>
      </c>
      <c r="T100" s="131" t="str">
        <f t="shared" si="4"/>
        <v>Not Started</v>
      </c>
      <c r="U100" s="132"/>
    </row>
    <row r="101" ht="21.75" customHeight="1">
      <c r="A101" s="125">
        <v>95.0</v>
      </c>
      <c r="B101" s="96" t="s">
        <v>469</v>
      </c>
      <c r="C101" s="97" t="s">
        <v>470</v>
      </c>
      <c r="D101" s="97" t="s">
        <v>471</v>
      </c>
      <c r="E101" s="126"/>
      <c r="F101" s="127"/>
      <c r="G101" s="128" t="str">
        <f t="array" ref="G101">IFERROR(INDEX('Mr Sandeep Kumar'!G:G,MATCH($B101,'Mr Sandeep Kumar'!$B:$B,0)),IFERROR(INDEX('Mr Manu Vikraman'!G:G,MATCH($B101,'Mr Manu Vikraman'!$B:$B,0)),""))</f>
        <v/>
      </c>
      <c r="H101" s="128" t="str">
        <f t="array" ref="H101">IFERROR(INDEX('Mr Sandeep Kumar'!H:H,MATCH($B101,'Mr Sandeep Kumar'!$B:$B,0)),IFERROR(INDEX('Mr Manu Vikraman'!H:H,MATCH($B101,'Mr Manu Vikraman'!$B:$B,0)),""))</f>
        <v/>
      </c>
      <c r="I101" s="128" t="str">
        <f t="array" ref="I101">IFERROR(INDEX('Mr Sandeep Kumar'!I:I,MATCH($B101,'Mr Sandeep Kumar'!$B:$B,0)),IFERROR(INDEX('Mr Manu Vikraman'!I:I,MATCH($B101,'Mr Manu Vikraman'!$B:$B,0)),""))</f>
        <v/>
      </c>
      <c r="J101" s="128" t="str">
        <f t="array" ref="J101">IFERROR(INDEX('Mr Sandeep Kumar'!J:J,MATCH($B101,'Mr Sandeep Kumar'!$B:$B,0)),IFERROR(INDEX('Mr Manu Vikraman'!J:J,MATCH($B101,'Mr Manu Vikraman'!$B:$B,0)),""))</f>
        <v/>
      </c>
      <c r="K101" s="128" t="str">
        <f t="array" ref="K101">IFERROR(INDEX('Mr Sandeep Kumar'!K:K,MATCH($B101,'Mr Sandeep Kumar'!$B:$B,0)),IFERROR(INDEX('Mr Manu Vikraman'!K:K,MATCH($B101,'Mr Manu Vikraman'!$B:$B,0)),""))</f>
        <v/>
      </c>
      <c r="L101" s="128" t="str">
        <f t="array" ref="L101">IFERROR(INDEX('Mr Sandeep Kumar'!L:L,MATCH($B101,'Mr Sandeep Kumar'!$B:$B,0)),IFERROR(INDEX('Mr Manu Vikraman'!L:L,MATCH($B101,'Mr Manu Vikraman'!$B:$B,0)),""))</f>
        <v/>
      </c>
      <c r="M101" s="128" t="str">
        <f t="array" ref="M101">IFERROR(INDEX('Mr Sandeep Kumar'!M:M,MATCH($B101,'Mr Sandeep Kumar'!$B:$B,0)),IFERROR(INDEX('Mr Manu Vikraman'!M:M,MATCH($B101,'Mr Manu Vikraman'!$B:$B,0)),""))</f>
        <v/>
      </c>
      <c r="N101" s="128" t="str">
        <f t="array" ref="N101">IFERROR(INDEX('Mr Sandeep Kumar'!N:N,MATCH($B101,'Mr Sandeep Kumar'!$B:$B,0)),IFERROR(INDEX('Mr Manu Vikraman'!N:N,MATCH($B101,'Mr Manu Vikraman'!$B:$B,0)),""))</f>
        <v/>
      </c>
      <c r="O101" s="128" t="str">
        <f t="array" ref="O101">IFERROR(INDEX('Mr Sandeep Kumar'!O:O,MATCH($B101,'Mr Sandeep Kumar'!$B:$B,0)),IFERROR(INDEX('Mr Manu Vikraman'!O:O,MATCH($B101,'Mr Manu Vikraman'!$B:$B,0)),""))</f>
        <v/>
      </c>
      <c r="P101" s="128" t="str">
        <f t="array" ref="P101">IFERROR(INDEX('Mr Sandeep Kumar'!P:P,MATCH($B101,'Mr Sandeep Kumar'!$B:$B,0)),IFERROR(INDEX('Mr Manu Vikraman'!P:P,MATCH($B101,'Mr Manu Vikraman'!$B:$B,0)),""))</f>
        <v/>
      </c>
      <c r="Q101" s="129">
        <f t="shared" si="1"/>
        <v>0</v>
      </c>
      <c r="R101" s="130">
        <f t="shared" si="2"/>
        <v>0</v>
      </c>
      <c r="S101" s="131" t="str">
        <f t="shared" si="3"/>
        <v>D</v>
      </c>
      <c r="T101" s="131" t="str">
        <f t="shared" si="4"/>
        <v>Not Started</v>
      </c>
      <c r="U101" s="132"/>
    </row>
    <row r="102" ht="21.75" customHeight="1">
      <c r="A102" s="125">
        <v>96.0</v>
      </c>
      <c r="B102" s="96" t="s">
        <v>472</v>
      </c>
      <c r="C102" s="97" t="s">
        <v>473</v>
      </c>
      <c r="D102" s="97" t="s">
        <v>474</v>
      </c>
      <c r="E102" s="126"/>
      <c r="F102" s="127"/>
      <c r="G102" s="128" t="str">
        <f t="array" ref="G102">IFERROR(INDEX('Mr Sandeep Kumar'!G:G,MATCH($B102,'Mr Sandeep Kumar'!$B:$B,0)),IFERROR(INDEX('Mr Manu Vikraman'!G:G,MATCH($B102,'Mr Manu Vikraman'!$B:$B,0)),""))</f>
        <v/>
      </c>
      <c r="H102" s="128" t="str">
        <f t="array" ref="H102">IFERROR(INDEX('Mr Sandeep Kumar'!H:H,MATCH($B102,'Mr Sandeep Kumar'!$B:$B,0)),IFERROR(INDEX('Mr Manu Vikraman'!H:H,MATCH($B102,'Mr Manu Vikraman'!$B:$B,0)),""))</f>
        <v/>
      </c>
      <c r="I102" s="128" t="str">
        <f t="array" ref="I102">IFERROR(INDEX('Mr Sandeep Kumar'!I:I,MATCH($B102,'Mr Sandeep Kumar'!$B:$B,0)),IFERROR(INDEX('Mr Manu Vikraman'!I:I,MATCH($B102,'Mr Manu Vikraman'!$B:$B,0)),""))</f>
        <v/>
      </c>
      <c r="J102" s="128" t="str">
        <f t="array" ref="J102">IFERROR(INDEX('Mr Sandeep Kumar'!J:J,MATCH($B102,'Mr Sandeep Kumar'!$B:$B,0)),IFERROR(INDEX('Mr Manu Vikraman'!J:J,MATCH($B102,'Mr Manu Vikraman'!$B:$B,0)),""))</f>
        <v/>
      </c>
      <c r="K102" s="128" t="str">
        <f t="array" ref="K102">IFERROR(INDEX('Mr Sandeep Kumar'!K:K,MATCH($B102,'Mr Sandeep Kumar'!$B:$B,0)),IFERROR(INDEX('Mr Manu Vikraman'!K:K,MATCH($B102,'Mr Manu Vikraman'!$B:$B,0)),""))</f>
        <v/>
      </c>
      <c r="L102" s="128" t="str">
        <f t="array" ref="L102">IFERROR(INDEX('Mr Sandeep Kumar'!L:L,MATCH($B102,'Mr Sandeep Kumar'!$B:$B,0)),IFERROR(INDEX('Mr Manu Vikraman'!L:L,MATCH($B102,'Mr Manu Vikraman'!$B:$B,0)),""))</f>
        <v/>
      </c>
      <c r="M102" s="128" t="str">
        <f t="array" ref="M102">IFERROR(INDEX('Mr Sandeep Kumar'!M:M,MATCH($B102,'Mr Sandeep Kumar'!$B:$B,0)),IFERROR(INDEX('Mr Manu Vikraman'!M:M,MATCH($B102,'Mr Manu Vikraman'!$B:$B,0)),""))</f>
        <v/>
      </c>
      <c r="N102" s="128" t="str">
        <f t="array" ref="N102">IFERROR(INDEX('Mr Sandeep Kumar'!N:N,MATCH($B102,'Mr Sandeep Kumar'!$B:$B,0)),IFERROR(INDEX('Mr Manu Vikraman'!N:N,MATCH($B102,'Mr Manu Vikraman'!$B:$B,0)),""))</f>
        <v/>
      </c>
      <c r="O102" s="128" t="str">
        <f t="array" ref="O102">IFERROR(INDEX('Mr Sandeep Kumar'!O:O,MATCH($B102,'Mr Sandeep Kumar'!$B:$B,0)),IFERROR(INDEX('Mr Manu Vikraman'!O:O,MATCH($B102,'Mr Manu Vikraman'!$B:$B,0)),""))</f>
        <v/>
      </c>
      <c r="P102" s="128" t="str">
        <f t="array" ref="P102">IFERROR(INDEX('Mr Sandeep Kumar'!P:P,MATCH($B102,'Mr Sandeep Kumar'!$B:$B,0)),IFERROR(INDEX('Mr Manu Vikraman'!P:P,MATCH($B102,'Mr Manu Vikraman'!$B:$B,0)),""))</f>
        <v/>
      </c>
      <c r="Q102" s="129">
        <f t="shared" si="1"/>
        <v>0</v>
      </c>
      <c r="R102" s="130">
        <f t="shared" si="2"/>
        <v>0</v>
      </c>
      <c r="S102" s="131" t="str">
        <f t="shared" si="3"/>
        <v>D</v>
      </c>
      <c r="T102" s="131" t="str">
        <f t="shared" si="4"/>
        <v>Not Started</v>
      </c>
      <c r="U102" s="132"/>
    </row>
    <row r="103" ht="21.75" customHeight="1">
      <c r="A103" s="125">
        <v>97.0</v>
      </c>
      <c r="B103" s="96" t="s">
        <v>475</v>
      </c>
      <c r="C103" s="97" t="s">
        <v>476</v>
      </c>
      <c r="D103" s="97" t="s">
        <v>477</v>
      </c>
      <c r="E103" s="126"/>
      <c r="F103" s="127"/>
      <c r="G103" s="128" t="str">
        <f t="array" ref="G103">IFERROR(INDEX('Mr Sandeep Kumar'!G:G,MATCH($B103,'Mr Sandeep Kumar'!$B:$B,0)),IFERROR(INDEX('Mr Manu Vikraman'!G:G,MATCH($B103,'Mr Manu Vikraman'!$B:$B,0)),""))</f>
        <v/>
      </c>
      <c r="H103" s="128" t="str">
        <f t="array" ref="H103">IFERROR(INDEX('Mr Sandeep Kumar'!H:H,MATCH($B103,'Mr Sandeep Kumar'!$B:$B,0)),IFERROR(INDEX('Mr Manu Vikraman'!H:H,MATCH($B103,'Mr Manu Vikraman'!$B:$B,0)),""))</f>
        <v/>
      </c>
      <c r="I103" s="128" t="str">
        <f t="array" ref="I103">IFERROR(INDEX('Mr Sandeep Kumar'!I:I,MATCH($B103,'Mr Sandeep Kumar'!$B:$B,0)),IFERROR(INDEX('Mr Manu Vikraman'!I:I,MATCH($B103,'Mr Manu Vikraman'!$B:$B,0)),""))</f>
        <v/>
      </c>
      <c r="J103" s="128" t="str">
        <f t="array" ref="J103">IFERROR(INDEX('Mr Sandeep Kumar'!J:J,MATCH($B103,'Mr Sandeep Kumar'!$B:$B,0)),IFERROR(INDEX('Mr Manu Vikraman'!J:J,MATCH($B103,'Mr Manu Vikraman'!$B:$B,0)),""))</f>
        <v/>
      </c>
      <c r="K103" s="128" t="str">
        <f t="array" ref="K103">IFERROR(INDEX('Mr Sandeep Kumar'!K:K,MATCH($B103,'Mr Sandeep Kumar'!$B:$B,0)),IFERROR(INDEX('Mr Manu Vikraman'!K:K,MATCH($B103,'Mr Manu Vikraman'!$B:$B,0)),""))</f>
        <v/>
      </c>
      <c r="L103" s="128" t="str">
        <f t="array" ref="L103">IFERROR(INDEX('Mr Sandeep Kumar'!L:L,MATCH($B103,'Mr Sandeep Kumar'!$B:$B,0)),IFERROR(INDEX('Mr Manu Vikraman'!L:L,MATCH($B103,'Mr Manu Vikraman'!$B:$B,0)),""))</f>
        <v/>
      </c>
      <c r="M103" s="128" t="str">
        <f t="array" ref="M103">IFERROR(INDEX('Mr Sandeep Kumar'!M:M,MATCH($B103,'Mr Sandeep Kumar'!$B:$B,0)),IFERROR(INDEX('Mr Manu Vikraman'!M:M,MATCH($B103,'Mr Manu Vikraman'!$B:$B,0)),""))</f>
        <v/>
      </c>
      <c r="N103" s="128" t="str">
        <f t="array" ref="N103">IFERROR(INDEX('Mr Sandeep Kumar'!N:N,MATCH($B103,'Mr Sandeep Kumar'!$B:$B,0)),IFERROR(INDEX('Mr Manu Vikraman'!N:N,MATCH($B103,'Mr Manu Vikraman'!$B:$B,0)),""))</f>
        <v/>
      </c>
      <c r="O103" s="128" t="str">
        <f t="array" ref="O103">IFERROR(INDEX('Mr Sandeep Kumar'!O:O,MATCH($B103,'Mr Sandeep Kumar'!$B:$B,0)),IFERROR(INDEX('Mr Manu Vikraman'!O:O,MATCH($B103,'Mr Manu Vikraman'!$B:$B,0)),""))</f>
        <v/>
      </c>
      <c r="P103" s="128" t="str">
        <f t="array" ref="P103">IFERROR(INDEX('Mr Sandeep Kumar'!P:P,MATCH($B103,'Mr Sandeep Kumar'!$B:$B,0)),IFERROR(INDEX('Mr Manu Vikraman'!P:P,MATCH($B103,'Mr Manu Vikraman'!$B:$B,0)),""))</f>
        <v/>
      </c>
      <c r="Q103" s="129">
        <f t="shared" si="1"/>
        <v>0</v>
      </c>
      <c r="R103" s="130">
        <f t="shared" si="2"/>
        <v>0</v>
      </c>
      <c r="S103" s="131" t="str">
        <f t="shared" si="3"/>
        <v>D</v>
      </c>
      <c r="T103" s="131" t="str">
        <f t="shared" si="4"/>
        <v>Not Started</v>
      </c>
      <c r="U103" s="132"/>
    </row>
    <row r="104" ht="21.75" customHeight="1">
      <c r="A104" s="125">
        <v>98.0</v>
      </c>
      <c r="B104" s="96" t="s">
        <v>478</v>
      </c>
      <c r="C104" s="97" t="s">
        <v>479</v>
      </c>
      <c r="D104" s="97" t="s">
        <v>480</v>
      </c>
      <c r="E104" s="126"/>
      <c r="F104" s="127"/>
      <c r="G104" s="128" t="str">
        <f t="array" ref="G104">IFERROR(INDEX('Mr Sandeep Kumar'!G:G,MATCH($B104,'Mr Sandeep Kumar'!$B:$B,0)),IFERROR(INDEX('Mr Manu Vikraman'!G:G,MATCH($B104,'Mr Manu Vikraman'!$B:$B,0)),""))</f>
        <v/>
      </c>
      <c r="H104" s="128" t="str">
        <f t="array" ref="H104">IFERROR(INDEX('Mr Sandeep Kumar'!H:H,MATCH($B104,'Mr Sandeep Kumar'!$B:$B,0)),IFERROR(INDEX('Mr Manu Vikraman'!H:H,MATCH($B104,'Mr Manu Vikraman'!$B:$B,0)),""))</f>
        <v/>
      </c>
      <c r="I104" s="128" t="str">
        <f t="array" ref="I104">IFERROR(INDEX('Mr Sandeep Kumar'!I:I,MATCH($B104,'Mr Sandeep Kumar'!$B:$B,0)),IFERROR(INDEX('Mr Manu Vikraman'!I:I,MATCH($B104,'Mr Manu Vikraman'!$B:$B,0)),""))</f>
        <v/>
      </c>
      <c r="J104" s="128" t="str">
        <f t="array" ref="J104">IFERROR(INDEX('Mr Sandeep Kumar'!J:J,MATCH($B104,'Mr Sandeep Kumar'!$B:$B,0)),IFERROR(INDEX('Mr Manu Vikraman'!J:J,MATCH($B104,'Mr Manu Vikraman'!$B:$B,0)),""))</f>
        <v/>
      </c>
      <c r="K104" s="128" t="str">
        <f t="array" ref="K104">IFERROR(INDEX('Mr Sandeep Kumar'!K:K,MATCH($B104,'Mr Sandeep Kumar'!$B:$B,0)),IFERROR(INDEX('Mr Manu Vikraman'!K:K,MATCH($B104,'Mr Manu Vikraman'!$B:$B,0)),""))</f>
        <v/>
      </c>
      <c r="L104" s="128" t="str">
        <f t="array" ref="L104">IFERROR(INDEX('Mr Sandeep Kumar'!L:L,MATCH($B104,'Mr Sandeep Kumar'!$B:$B,0)),IFERROR(INDEX('Mr Manu Vikraman'!L:L,MATCH($B104,'Mr Manu Vikraman'!$B:$B,0)),""))</f>
        <v/>
      </c>
      <c r="M104" s="128" t="str">
        <f t="array" ref="M104">IFERROR(INDEX('Mr Sandeep Kumar'!M:M,MATCH($B104,'Mr Sandeep Kumar'!$B:$B,0)),IFERROR(INDEX('Mr Manu Vikraman'!M:M,MATCH($B104,'Mr Manu Vikraman'!$B:$B,0)),""))</f>
        <v/>
      </c>
      <c r="N104" s="128" t="str">
        <f t="array" ref="N104">IFERROR(INDEX('Mr Sandeep Kumar'!N:N,MATCH($B104,'Mr Sandeep Kumar'!$B:$B,0)),IFERROR(INDEX('Mr Manu Vikraman'!N:N,MATCH($B104,'Mr Manu Vikraman'!$B:$B,0)),""))</f>
        <v/>
      </c>
      <c r="O104" s="128" t="str">
        <f t="array" ref="O104">IFERROR(INDEX('Mr Sandeep Kumar'!O:O,MATCH($B104,'Mr Sandeep Kumar'!$B:$B,0)),IFERROR(INDEX('Mr Manu Vikraman'!O:O,MATCH($B104,'Mr Manu Vikraman'!$B:$B,0)),""))</f>
        <v/>
      </c>
      <c r="P104" s="128" t="str">
        <f t="array" ref="P104">IFERROR(INDEX('Mr Sandeep Kumar'!P:P,MATCH($B104,'Mr Sandeep Kumar'!$B:$B,0)),IFERROR(INDEX('Mr Manu Vikraman'!P:P,MATCH($B104,'Mr Manu Vikraman'!$B:$B,0)),""))</f>
        <v/>
      </c>
      <c r="Q104" s="129">
        <f t="shared" si="1"/>
        <v>0</v>
      </c>
      <c r="R104" s="130">
        <f t="shared" si="2"/>
        <v>0</v>
      </c>
      <c r="S104" s="131" t="str">
        <f t="shared" si="3"/>
        <v>D</v>
      </c>
      <c r="T104" s="131" t="str">
        <f t="shared" si="4"/>
        <v>Not Started</v>
      </c>
      <c r="U104" s="132"/>
    </row>
    <row r="105" ht="21.75" customHeight="1">
      <c r="A105" s="125">
        <v>99.0</v>
      </c>
      <c r="B105" s="96" t="s">
        <v>481</v>
      </c>
      <c r="C105" s="97" t="s">
        <v>482</v>
      </c>
      <c r="D105" s="97" t="s">
        <v>483</v>
      </c>
      <c r="E105" s="126"/>
      <c r="F105" s="127"/>
      <c r="G105" s="128" t="str">
        <f t="array" ref="G105">IFERROR(INDEX('Mr Sandeep Kumar'!G:G,MATCH($B105,'Mr Sandeep Kumar'!$B:$B,0)),IFERROR(INDEX('Mr Manu Vikraman'!G:G,MATCH($B105,'Mr Manu Vikraman'!$B:$B,0)),""))</f>
        <v/>
      </c>
      <c r="H105" s="128" t="str">
        <f t="array" ref="H105">IFERROR(INDEX('Mr Sandeep Kumar'!H:H,MATCH($B105,'Mr Sandeep Kumar'!$B:$B,0)),IFERROR(INDEX('Mr Manu Vikraman'!H:H,MATCH($B105,'Mr Manu Vikraman'!$B:$B,0)),""))</f>
        <v/>
      </c>
      <c r="I105" s="128" t="str">
        <f t="array" ref="I105">IFERROR(INDEX('Mr Sandeep Kumar'!I:I,MATCH($B105,'Mr Sandeep Kumar'!$B:$B,0)),IFERROR(INDEX('Mr Manu Vikraman'!I:I,MATCH($B105,'Mr Manu Vikraman'!$B:$B,0)),""))</f>
        <v/>
      </c>
      <c r="J105" s="128" t="str">
        <f t="array" ref="J105">IFERROR(INDEX('Mr Sandeep Kumar'!J:J,MATCH($B105,'Mr Sandeep Kumar'!$B:$B,0)),IFERROR(INDEX('Mr Manu Vikraman'!J:J,MATCH($B105,'Mr Manu Vikraman'!$B:$B,0)),""))</f>
        <v/>
      </c>
      <c r="K105" s="128" t="str">
        <f t="array" ref="K105">IFERROR(INDEX('Mr Sandeep Kumar'!K:K,MATCH($B105,'Mr Sandeep Kumar'!$B:$B,0)),IFERROR(INDEX('Mr Manu Vikraman'!K:K,MATCH($B105,'Mr Manu Vikraman'!$B:$B,0)),""))</f>
        <v/>
      </c>
      <c r="L105" s="128" t="str">
        <f t="array" ref="L105">IFERROR(INDEX('Mr Sandeep Kumar'!L:L,MATCH($B105,'Mr Sandeep Kumar'!$B:$B,0)),IFERROR(INDEX('Mr Manu Vikraman'!L:L,MATCH($B105,'Mr Manu Vikraman'!$B:$B,0)),""))</f>
        <v/>
      </c>
      <c r="M105" s="128" t="str">
        <f t="array" ref="M105">IFERROR(INDEX('Mr Sandeep Kumar'!M:M,MATCH($B105,'Mr Sandeep Kumar'!$B:$B,0)),IFERROR(INDEX('Mr Manu Vikraman'!M:M,MATCH($B105,'Mr Manu Vikraman'!$B:$B,0)),""))</f>
        <v/>
      </c>
      <c r="N105" s="128" t="str">
        <f t="array" ref="N105">IFERROR(INDEX('Mr Sandeep Kumar'!N:N,MATCH($B105,'Mr Sandeep Kumar'!$B:$B,0)),IFERROR(INDEX('Mr Manu Vikraman'!N:N,MATCH($B105,'Mr Manu Vikraman'!$B:$B,0)),""))</f>
        <v/>
      </c>
      <c r="O105" s="128" t="str">
        <f t="array" ref="O105">IFERROR(INDEX('Mr Sandeep Kumar'!O:O,MATCH($B105,'Mr Sandeep Kumar'!$B:$B,0)),IFERROR(INDEX('Mr Manu Vikraman'!O:O,MATCH($B105,'Mr Manu Vikraman'!$B:$B,0)),""))</f>
        <v/>
      </c>
      <c r="P105" s="128" t="str">
        <f t="array" ref="P105">IFERROR(INDEX('Mr Sandeep Kumar'!P:P,MATCH($B105,'Mr Sandeep Kumar'!$B:$B,0)),IFERROR(INDEX('Mr Manu Vikraman'!P:P,MATCH($B105,'Mr Manu Vikraman'!$B:$B,0)),""))</f>
        <v/>
      </c>
      <c r="Q105" s="129">
        <f t="shared" si="1"/>
        <v>0</v>
      </c>
      <c r="R105" s="130">
        <f t="shared" si="2"/>
        <v>0</v>
      </c>
      <c r="S105" s="131" t="str">
        <f t="shared" si="3"/>
        <v>D</v>
      </c>
      <c r="T105" s="131" t="str">
        <f t="shared" si="4"/>
        <v>Not Started</v>
      </c>
      <c r="U105" s="132"/>
    </row>
    <row r="106" ht="21.75" customHeight="1">
      <c r="A106" s="125">
        <v>100.0</v>
      </c>
      <c r="B106" s="96" t="s">
        <v>484</v>
      </c>
      <c r="C106" s="97" t="s">
        <v>485</v>
      </c>
      <c r="D106" s="97" t="s">
        <v>486</v>
      </c>
      <c r="E106" s="126"/>
      <c r="F106" s="127"/>
      <c r="G106" s="128" t="str">
        <f t="array" ref="G106">IFERROR(INDEX('Mr Sandeep Kumar'!G:G,MATCH($B106,'Mr Sandeep Kumar'!$B:$B,0)),IFERROR(INDEX('Mr Manu Vikraman'!G:G,MATCH($B106,'Mr Manu Vikraman'!$B:$B,0)),""))</f>
        <v/>
      </c>
      <c r="H106" s="128" t="str">
        <f t="array" ref="H106">IFERROR(INDEX('Mr Sandeep Kumar'!H:H,MATCH($B106,'Mr Sandeep Kumar'!$B:$B,0)),IFERROR(INDEX('Mr Manu Vikraman'!H:H,MATCH($B106,'Mr Manu Vikraman'!$B:$B,0)),""))</f>
        <v/>
      </c>
      <c r="I106" s="128" t="str">
        <f t="array" ref="I106">IFERROR(INDEX('Mr Sandeep Kumar'!I:I,MATCH($B106,'Mr Sandeep Kumar'!$B:$B,0)),IFERROR(INDEX('Mr Manu Vikraman'!I:I,MATCH($B106,'Mr Manu Vikraman'!$B:$B,0)),""))</f>
        <v/>
      </c>
      <c r="J106" s="128" t="str">
        <f t="array" ref="J106">IFERROR(INDEX('Mr Sandeep Kumar'!J:J,MATCH($B106,'Mr Sandeep Kumar'!$B:$B,0)),IFERROR(INDEX('Mr Manu Vikraman'!J:J,MATCH($B106,'Mr Manu Vikraman'!$B:$B,0)),""))</f>
        <v/>
      </c>
      <c r="K106" s="128" t="str">
        <f t="array" ref="K106">IFERROR(INDEX('Mr Sandeep Kumar'!K:K,MATCH($B106,'Mr Sandeep Kumar'!$B:$B,0)),IFERROR(INDEX('Mr Manu Vikraman'!K:K,MATCH($B106,'Mr Manu Vikraman'!$B:$B,0)),""))</f>
        <v/>
      </c>
      <c r="L106" s="128" t="str">
        <f t="array" ref="L106">IFERROR(INDEX('Mr Sandeep Kumar'!L:L,MATCH($B106,'Mr Sandeep Kumar'!$B:$B,0)),IFERROR(INDEX('Mr Manu Vikraman'!L:L,MATCH($B106,'Mr Manu Vikraman'!$B:$B,0)),""))</f>
        <v/>
      </c>
      <c r="M106" s="128" t="str">
        <f t="array" ref="M106">IFERROR(INDEX('Mr Sandeep Kumar'!M:M,MATCH($B106,'Mr Sandeep Kumar'!$B:$B,0)),IFERROR(INDEX('Mr Manu Vikraman'!M:M,MATCH($B106,'Mr Manu Vikraman'!$B:$B,0)),""))</f>
        <v/>
      </c>
      <c r="N106" s="128" t="str">
        <f t="array" ref="N106">IFERROR(INDEX('Mr Sandeep Kumar'!N:N,MATCH($B106,'Mr Sandeep Kumar'!$B:$B,0)),IFERROR(INDEX('Mr Manu Vikraman'!N:N,MATCH($B106,'Mr Manu Vikraman'!$B:$B,0)),""))</f>
        <v/>
      </c>
      <c r="O106" s="128" t="str">
        <f t="array" ref="O106">IFERROR(INDEX('Mr Sandeep Kumar'!O:O,MATCH($B106,'Mr Sandeep Kumar'!$B:$B,0)),IFERROR(INDEX('Mr Manu Vikraman'!O:O,MATCH($B106,'Mr Manu Vikraman'!$B:$B,0)),""))</f>
        <v/>
      </c>
      <c r="P106" s="128" t="str">
        <f t="array" ref="P106">IFERROR(INDEX('Mr Sandeep Kumar'!P:P,MATCH($B106,'Mr Sandeep Kumar'!$B:$B,0)),IFERROR(INDEX('Mr Manu Vikraman'!P:P,MATCH($B106,'Mr Manu Vikraman'!$B:$B,0)),""))</f>
        <v/>
      </c>
      <c r="Q106" s="129">
        <f t="shared" si="1"/>
        <v>0</v>
      </c>
      <c r="R106" s="130">
        <f t="shared" si="2"/>
        <v>0</v>
      </c>
      <c r="S106" s="131" t="str">
        <f t="shared" si="3"/>
        <v>D</v>
      </c>
      <c r="T106" s="131" t="str">
        <f t="shared" si="4"/>
        <v>Not Started</v>
      </c>
      <c r="U106" s="132"/>
    </row>
    <row r="107" ht="21.75" customHeight="1">
      <c r="A107" s="125">
        <v>101.0</v>
      </c>
      <c r="B107" s="96" t="s">
        <v>487</v>
      </c>
      <c r="C107" s="97" t="s">
        <v>488</v>
      </c>
      <c r="D107" s="97" t="s">
        <v>489</v>
      </c>
      <c r="E107" s="126"/>
      <c r="F107" s="127"/>
      <c r="G107" s="128" t="str">
        <f t="array" ref="G107">IFERROR(INDEX('Mr Sandeep Kumar'!G:G,MATCH($B107,'Mr Sandeep Kumar'!$B:$B,0)),IFERROR(INDEX('Mr Manu Vikraman'!G:G,MATCH($B107,'Mr Manu Vikraman'!$B:$B,0)),""))</f>
        <v/>
      </c>
      <c r="H107" s="128" t="str">
        <f t="array" ref="H107">IFERROR(INDEX('Mr Sandeep Kumar'!H:H,MATCH($B107,'Mr Sandeep Kumar'!$B:$B,0)),IFERROR(INDEX('Mr Manu Vikraman'!H:H,MATCH($B107,'Mr Manu Vikraman'!$B:$B,0)),""))</f>
        <v/>
      </c>
      <c r="I107" s="128" t="str">
        <f t="array" ref="I107">IFERROR(INDEX('Mr Sandeep Kumar'!I:I,MATCH($B107,'Mr Sandeep Kumar'!$B:$B,0)),IFERROR(INDEX('Mr Manu Vikraman'!I:I,MATCH($B107,'Mr Manu Vikraman'!$B:$B,0)),""))</f>
        <v/>
      </c>
      <c r="J107" s="128" t="str">
        <f t="array" ref="J107">IFERROR(INDEX('Mr Sandeep Kumar'!J:J,MATCH($B107,'Mr Sandeep Kumar'!$B:$B,0)),IFERROR(INDEX('Mr Manu Vikraman'!J:J,MATCH($B107,'Mr Manu Vikraman'!$B:$B,0)),""))</f>
        <v/>
      </c>
      <c r="K107" s="128" t="str">
        <f t="array" ref="K107">IFERROR(INDEX('Mr Sandeep Kumar'!K:K,MATCH($B107,'Mr Sandeep Kumar'!$B:$B,0)),IFERROR(INDEX('Mr Manu Vikraman'!K:K,MATCH($B107,'Mr Manu Vikraman'!$B:$B,0)),""))</f>
        <v/>
      </c>
      <c r="L107" s="128" t="str">
        <f t="array" ref="L107">IFERROR(INDEX('Mr Sandeep Kumar'!L:L,MATCH($B107,'Mr Sandeep Kumar'!$B:$B,0)),IFERROR(INDEX('Mr Manu Vikraman'!L:L,MATCH($B107,'Mr Manu Vikraman'!$B:$B,0)),""))</f>
        <v/>
      </c>
      <c r="M107" s="128" t="str">
        <f t="array" ref="M107">IFERROR(INDEX('Mr Sandeep Kumar'!M:M,MATCH($B107,'Mr Sandeep Kumar'!$B:$B,0)),IFERROR(INDEX('Mr Manu Vikraman'!M:M,MATCH($B107,'Mr Manu Vikraman'!$B:$B,0)),""))</f>
        <v/>
      </c>
      <c r="N107" s="128" t="str">
        <f t="array" ref="N107">IFERROR(INDEX('Mr Sandeep Kumar'!N:N,MATCH($B107,'Mr Sandeep Kumar'!$B:$B,0)),IFERROR(INDEX('Mr Manu Vikraman'!N:N,MATCH($B107,'Mr Manu Vikraman'!$B:$B,0)),""))</f>
        <v/>
      </c>
      <c r="O107" s="128" t="str">
        <f t="array" ref="O107">IFERROR(INDEX('Mr Sandeep Kumar'!O:O,MATCH($B107,'Mr Sandeep Kumar'!$B:$B,0)),IFERROR(INDEX('Mr Manu Vikraman'!O:O,MATCH($B107,'Mr Manu Vikraman'!$B:$B,0)),""))</f>
        <v/>
      </c>
      <c r="P107" s="128" t="str">
        <f t="array" ref="P107">IFERROR(INDEX('Mr Sandeep Kumar'!P:P,MATCH($B107,'Mr Sandeep Kumar'!$B:$B,0)),IFERROR(INDEX('Mr Manu Vikraman'!P:P,MATCH($B107,'Mr Manu Vikraman'!$B:$B,0)),""))</f>
        <v/>
      </c>
      <c r="Q107" s="129">
        <f t="shared" si="1"/>
        <v>0</v>
      </c>
      <c r="R107" s="130">
        <f t="shared" si="2"/>
        <v>0</v>
      </c>
      <c r="S107" s="131" t="str">
        <f t="shared" si="3"/>
        <v>D</v>
      </c>
      <c r="T107" s="131" t="str">
        <f t="shared" si="4"/>
        <v>Not Started</v>
      </c>
      <c r="U107" s="132"/>
    </row>
    <row r="108" ht="21.75" customHeight="1">
      <c r="A108" s="125">
        <v>102.0</v>
      </c>
      <c r="B108" s="96" t="s">
        <v>490</v>
      </c>
      <c r="C108" s="97" t="s">
        <v>491</v>
      </c>
      <c r="D108" s="97" t="s">
        <v>492</v>
      </c>
      <c r="E108" s="126"/>
      <c r="F108" s="127"/>
      <c r="G108" s="128" t="str">
        <f t="array" ref="G108">IFERROR(INDEX('Mr Sandeep Kumar'!G:G,MATCH($B108,'Mr Sandeep Kumar'!$B:$B,0)),IFERROR(INDEX('Mr Manu Vikraman'!G:G,MATCH($B108,'Mr Manu Vikraman'!$B:$B,0)),""))</f>
        <v/>
      </c>
      <c r="H108" s="128" t="str">
        <f t="array" ref="H108">IFERROR(INDEX('Mr Sandeep Kumar'!H:H,MATCH($B108,'Mr Sandeep Kumar'!$B:$B,0)),IFERROR(INDEX('Mr Manu Vikraman'!H:H,MATCH($B108,'Mr Manu Vikraman'!$B:$B,0)),""))</f>
        <v/>
      </c>
      <c r="I108" s="128" t="str">
        <f t="array" ref="I108">IFERROR(INDEX('Mr Sandeep Kumar'!I:I,MATCH($B108,'Mr Sandeep Kumar'!$B:$B,0)),IFERROR(INDEX('Mr Manu Vikraman'!I:I,MATCH($B108,'Mr Manu Vikraman'!$B:$B,0)),""))</f>
        <v/>
      </c>
      <c r="J108" s="128" t="str">
        <f t="array" ref="J108">IFERROR(INDEX('Mr Sandeep Kumar'!J:J,MATCH($B108,'Mr Sandeep Kumar'!$B:$B,0)),IFERROR(INDEX('Mr Manu Vikraman'!J:J,MATCH($B108,'Mr Manu Vikraman'!$B:$B,0)),""))</f>
        <v/>
      </c>
      <c r="K108" s="128" t="str">
        <f t="array" ref="K108">IFERROR(INDEX('Mr Sandeep Kumar'!K:K,MATCH($B108,'Mr Sandeep Kumar'!$B:$B,0)),IFERROR(INDEX('Mr Manu Vikraman'!K:K,MATCH($B108,'Mr Manu Vikraman'!$B:$B,0)),""))</f>
        <v/>
      </c>
      <c r="L108" s="128" t="str">
        <f t="array" ref="L108">IFERROR(INDEX('Mr Sandeep Kumar'!L:L,MATCH($B108,'Mr Sandeep Kumar'!$B:$B,0)),IFERROR(INDEX('Mr Manu Vikraman'!L:L,MATCH($B108,'Mr Manu Vikraman'!$B:$B,0)),""))</f>
        <v/>
      </c>
      <c r="M108" s="128" t="str">
        <f t="array" ref="M108">IFERROR(INDEX('Mr Sandeep Kumar'!M:M,MATCH($B108,'Mr Sandeep Kumar'!$B:$B,0)),IFERROR(INDEX('Mr Manu Vikraman'!M:M,MATCH($B108,'Mr Manu Vikraman'!$B:$B,0)),""))</f>
        <v/>
      </c>
      <c r="N108" s="128" t="str">
        <f t="array" ref="N108">IFERROR(INDEX('Mr Sandeep Kumar'!N:N,MATCH($B108,'Mr Sandeep Kumar'!$B:$B,0)),IFERROR(INDEX('Mr Manu Vikraman'!N:N,MATCH($B108,'Mr Manu Vikraman'!$B:$B,0)),""))</f>
        <v/>
      </c>
      <c r="O108" s="128" t="str">
        <f t="array" ref="O108">IFERROR(INDEX('Mr Sandeep Kumar'!O:O,MATCH($B108,'Mr Sandeep Kumar'!$B:$B,0)),IFERROR(INDEX('Mr Manu Vikraman'!O:O,MATCH($B108,'Mr Manu Vikraman'!$B:$B,0)),""))</f>
        <v/>
      </c>
      <c r="P108" s="128" t="str">
        <f t="array" ref="P108">IFERROR(INDEX('Mr Sandeep Kumar'!P:P,MATCH($B108,'Mr Sandeep Kumar'!$B:$B,0)),IFERROR(INDEX('Mr Manu Vikraman'!P:P,MATCH($B108,'Mr Manu Vikraman'!$B:$B,0)),""))</f>
        <v/>
      </c>
      <c r="Q108" s="129">
        <f t="shared" si="1"/>
        <v>0</v>
      </c>
      <c r="R108" s="130">
        <f t="shared" si="2"/>
        <v>0</v>
      </c>
      <c r="S108" s="131" t="str">
        <f t="shared" si="3"/>
        <v>D</v>
      </c>
      <c r="T108" s="131" t="str">
        <f t="shared" si="4"/>
        <v>Not Started</v>
      </c>
      <c r="U108" s="132"/>
    </row>
    <row r="109" ht="21.75" customHeight="1">
      <c r="A109" s="125">
        <v>103.0</v>
      </c>
      <c r="B109" s="96" t="s">
        <v>493</v>
      </c>
      <c r="C109" s="97" t="s">
        <v>494</v>
      </c>
      <c r="D109" s="97" t="s">
        <v>495</v>
      </c>
      <c r="E109" s="126"/>
      <c r="F109" s="127"/>
      <c r="G109" s="128" t="str">
        <f t="array" ref="G109">IFERROR(INDEX('Mr Sandeep Kumar'!G:G,MATCH($B109,'Mr Sandeep Kumar'!$B:$B,0)),IFERROR(INDEX('Mr Manu Vikraman'!G:G,MATCH($B109,'Mr Manu Vikraman'!$B:$B,0)),""))</f>
        <v/>
      </c>
      <c r="H109" s="128" t="str">
        <f t="array" ref="H109">IFERROR(INDEX('Mr Sandeep Kumar'!H:H,MATCH($B109,'Mr Sandeep Kumar'!$B:$B,0)),IFERROR(INDEX('Mr Manu Vikraman'!H:H,MATCH($B109,'Mr Manu Vikraman'!$B:$B,0)),""))</f>
        <v/>
      </c>
      <c r="I109" s="128" t="str">
        <f t="array" ref="I109">IFERROR(INDEX('Mr Sandeep Kumar'!I:I,MATCH($B109,'Mr Sandeep Kumar'!$B:$B,0)),IFERROR(INDEX('Mr Manu Vikraman'!I:I,MATCH($B109,'Mr Manu Vikraman'!$B:$B,0)),""))</f>
        <v/>
      </c>
      <c r="J109" s="128" t="str">
        <f t="array" ref="J109">IFERROR(INDEX('Mr Sandeep Kumar'!J:J,MATCH($B109,'Mr Sandeep Kumar'!$B:$B,0)),IFERROR(INDEX('Mr Manu Vikraman'!J:J,MATCH($B109,'Mr Manu Vikraman'!$B:$B,0)),""))</f>
        <v/>
      </c>
      <c r="K109" s="128" t="str">
        <f t="array" ref="K109">IFERROR(INDEX('Mr Sandeep Kumar'!K:K,MATCH($B109,'Mr Sandeep Kumar'!$B:$B,0)),IFERROR(INDEX('Mr Manu Vikraman'!K:K,MATCH($B109,'Mr Manu Vikraman'!$B:$B,0)),""))</f>
        <v/>
      </c>
      <c r="L109" s="128" t="str">
        <f t="array" ref="L109">IFERROR(INDEX('Mr Sandeep Kumar'!L:L,MATCH($B109,'Mr Sandeep Kumar'!$B:$B,0)),IFERROR(INDEX('Mr Manu Vikraman'!L:L,MATCH($B109,'Mr Manu Vikraman'!$B:$B,0)),""))</f>
        <v/>
      </c>
      <c r="M109" s="128" t="str">
        <f t="array" ref="M109">IFERROR(INDEX('Mr Sandeep Kumar'!M:M,MATCH($B109,'Mr Sandeep Kumar'!$B:$B,0)),IFERROR(INDEX('Mr Manu Vikraman'!M:M,MATCH($B109,'Mr Manu Vikraman'!$B:$B,0)),""))</f>
        <v/>
      </c>
      <c r="N109" s="128" t="str">
        <f t="array" ref="N109">IFERROR(INDEX('Mr Sandeep Kumar'!N:N,MATCH($B109,'Mr Sandeep Kumar'!$B:$B,0)),IFERROR(INDEX('Mr Manu Vikraman'!N:N,MATCH($B109,'Mr Manu Vikraman'!$B:$B,0)),""))</f>
        <v/>
      </c>
      <c r="O109" s="128" t="str">
        <f t="array" ref="O109">IFERROR(INDEX('Mr Sandeep Kumar'!O:O,MATCH($B109,'Mr Sandeep Kumar'!$B:$B,0)),IFERROR(INDEX('Mr Manu Vikraman'!O:O,MATCH($B109,'Mr Manu Vikraman'!$B:$B,0)),""))</f>
        <v/>
      </c>
      <c r="P109" s="128" t="str">
        <f t="array" ref="P109">IFERROR(INDEX('Mr Sandeep Kumar'!P:P,MATCH($B109,'Mr Sandeep Kumar'!$B:$B,0)),IFERROR(INDEX('Mr Manu Vikraman'!P:P,MATCH($B109,'Mr Manu Vikraman'!$B:$B,0)),""))</f>
        <v/>
      </c>
      <c r="Q109" s="129">
        <f t="shared" si="1"/>
        <v>0</v>
      </c>
      <c r="R109" s="130">
        <f t="shared" si="2"/>
        <v>0</v>
      </c>
      <c r="S109" s="131" t="str">
        <f t="shared" si="3"/>
        <v>D</v>
      </c>
      <c r="T109" s="131" t="str">
        <f t="shared" si="4"/>
        <v>Not Started</v>
      </c>
      <c r="U109" s="132"/>
    </row>
    <row r="110" ht="21.75" customHeight="1">
      <c r="A110" s="125">
        <v>104.0</v>
      </c>
      <c r="B110" s="133"/>
      <c r="C110" s="134" t="s">
        <v>496</v>
      </c>
      <c r="D110" s="134" t="s">
        <v>497</v>
      </c>
      <c r="E110" s="126"/>
      <c r="F110" s="127"/>
      <c r="G110" s="128" t="str">
        <f t="array" ref="G110">IFERROR(INDEX('Mr Sandeep Kumar'!G:G,MATCH($B110,'Mr Sandeep Kumar'!$B:$B,0)),IFERROR(INDEX('Mr Manu Vikraman'!G:G,MATCH($B110,'Mr Manu Vikraman'!$B:$B,0)),""))</f>
        <v/>
      </c>
      <c r="H110" s="128" t="str">
        <f t="array" ref="H110">IFERROR(INDEX('Mr Sandeep Kumar'!H:H,MATCH($B110,'Mr Sandeep Kumar'!$B:$B,0)),IFERROR(INDEX('Mr Manu Vikraman'!H:H,MATCH($B110,'Mr Manu Vikraman'!$B:$B,0)),""))</f>
        <v/>
      </c>
      <c r="I110" s="128" t="str">
        <f t="array" ref="I110">IFERROR(INDEX('Mr Sandeep Kumar'!I:I,MATCH($B110,'Mr Sandeep Kumar'!$B:$B,0)),IFERROR(INDEX('Mr Manu Vikraman'!I:I,MATCH($B110,'Mr Manu Vikraman'!$B:$B,0)),""))</f>
        <v/>
      </c>
      <c r="J110" s="128" t="str">
        <f t="array" ref="J110">IFERROR(INDEX('Mr Sandeep Kumar'!J:J,MATCH($B110,'Mr Sandeep Kumar'!$B:$B,0)),IFERROR(INDEX('Mr Manu Vikraman'!J:J,MATCH($B110,'Mr Manu Vikraman'!$B:$B,0)),""))</f>
        <v/>
      </c>
      <c r="K110" s="128" t="str">
        <f t="array" ref="K110">IFERROR(INDEX('Mr Sandeep Kumar'!K:K,MATCH($B110,'Mr Sandeep Kumar'!$B:$B,0)),IFERROR(INDEX('Mr Manu Vikraman'!K:K,MATCH($B110,'Mr Manu Vikraman'!$B:$B,0)),""))</f>
        <v/>
      </c>
      <c r="L110" s="128" t="str">
        <f t="array" ref="L110">IFERROR(INDEX('Mr Sandeep Kumar'!L:L,MATCH($B110,'Mr Sandeep Kumar'!$B:$B,0)),IFERROR(INDEX('Mr Manu Vikraman'!L:L,MATCH($B110,'Mr Manu Vikraman'!$B:$B,0)),""))</f>
        <v/>
      </c>
      <c r="M110" s="128" t="str">
        <f t="array" ref="M110">IFERROR(INDEX('Mr Sandeep Kumar'!M:M,MATCH($B110,'Mr Sandeep Kumar'!$B:$B,0)),IFERROR(INDEX('Mr Manu Vikraman'!M:M,MATCH($B110,'Mr Manu Vikraman'!$B:$B,0)),""))</f>
        <v/>
      </c>
      <c r="N110" s="128" t="str">
        <f t="array" ref="N110">IFERROR(INDEX('Mr Sandeep Kumar'!N:N,MATCH($B110,'Mr Sandeep Kumar'!$B:$B,0)),IFERROR(INDEX('Mr Manu Vikraman'!N:N,MATCH($B110,'Mr Manu Vikraman'!$B:$B,0)),""))</f>
        <v/>
      </c>
      <c r="O110" s="128" t="str">
        <f t="array" ref="O110">IFERROR(INDEX('Mr Sandeep Kumar'!O:O,MATCH($B110,'Mr Sandeep Kumar'!$B:$B,0)),IFERROR(INDEX('Mr Manu Vikraman'!O:O,MATCH($B110,'Mr Manu Vikraman'!$B:$B,0)),""))</f>
        <v/>
      </c>
      <c r="P110" s="128" t="str">
        <f t="array" ref="P110">IFERROR(INDEX('Mr Sandeep Kumar'!P:P,MATCH($B110,'Mr Sandeep Kumar'!$B:$B,0)),IFERROR(INDEX('Mr Manu Vikraman'!P:P,MATCH($B110,'Mr Manu Vikraman'!$B:$B,0)),""))</f>
        <v/>
      </c>
      <c r="Q110" s="129">
        <f t="shared" si="1"/>
        <v>0</v>
      </c>
      <c r="R110" s="130">
        <f t="shared" si="2"/>
        <v>0</v>
      </c>
      <c r="S110" s="131" t="str">
        <f t="shared" si="3"/>
        <v>D</v>
      </c>
      <c r="T110" s="131" t="str">
        <f t="shared" si="4"/>
        <v>Not Started</v>
      </c>
      <c r="U110" s="132"/>
    </row>
    <row r="111" ht="21.75" customHeight="1">
      <c r="A111" s="125">
        <v>105.0</v>
      </c>
      <c r="B111" s="135" t="s">
        <v>498</v>
      </c>
      <c r="C111" s="134" t="s">
        <v>499</v>
      </c>
      <c r="D111" s="134" t="s">
        <v>500</v>
      </c>
      <c r="E111" s="126"/>
      <c r="F111" s="127"/>
      <c r="G111" s="128" t="str">
        <f t="array" ref="G111">IFERROR(INDEX('Mr Sandeep Kumar'!G:G,MATCH($B111,'Mr Sandeep Kumar'!$B:$B,0)),IFERROR(INDEX('Mr Manu Vikraman'!G:G,MATCH($B111,'Mr Manu Vikraman'!$B:$B,0)),""))</f>
        <v/>
      </c>
      <c r="H111" s="128" t="str">
        <f t="array" ref="H111">IFERROR(INDEX('Mr Sandeep Kumar'!H:H,MATCH($B111,'Mr Sandeep Kumar'!$B:$B,0)),IFERROR(INDEX('Mr Manu Vikraman'!H:H,MATCH($B111,'Mr Manu Vikraman'!$B:$B,0)),""))</f>
        <v/>
      </c>
      <c r="I111" s="128" t="str">
        <f t="array" ref="I111">IFERROR(INDEX('Mr Sandeep Kumar'!I:I,MATCH($B111,'Mr Sandeep Kumar'!$B:$B,0)),IFERROR(INDEX('Mr Manu Vikraman'!I:I,MATCH($B111,'Mr Manu Vikraman'!$B:$B,0)),""))</f>
        <v/>
      </c>
      <c r="J111" s="128" t="str">
        <f t="array" ref="J111">IFERROR(INDEX('Mr Sandeep Kumar'!J:J,MATCH($B111,'Mr Sandeep Kumar'!$B:$B,0)),IFERROR(INDEX('Mr Manu Vikraman'!J:J,MATCH($B111,'Mr Manu Vikraman'!$B:$B,0)),""))</f>
        <v/>
      </c>
      <c r="K111" s="128" t="str">
        <f t="array" ref="K111">IFERROR(INDEX('Mr Sandeep Kumar'!K:K,MATCH($B111,'Mr Sandeep Kumar'!$B:$B,0)),IFERROR(INDEX('Mr Manu Vikraman'!K:K,MATCH($B111,'Mr Manu Vikraman'!$B:$B,0)),""))</f>
        <v/>
      </c>
      <c r="L111" s="128" t="str">
        <f t="array" ref="L111">IFERROR(INDEX('Mr Sandeep Kumar'!L:L,MATCH($B111,'Mr Sandeep Kumar'!$B:$B,0)),IFERROR(INDEX('Mr Manu Vikraman'!L:L,MATCH($B111,'Mr Manu Vikraman'!$B:$B,0)),""))</f>
        <v/>
      </c>
      <c r="M111" s="128" t="str">
        <f t="array" ref="M111">IFERROR(INDEX('Mr Sandeep Kumar'!M:M,MATCH($B111,'Mr Sandeep Kumar'!$B:$B,0)),IFERROR(INDEX('Mr Manu Vikraman'!M:M,MATCH($B111,'Mr Manu Vikraman'!$B:$B,0)),""))</f>
        <v/>
      </c>
      <c r="N111" s="128" t="str">
        <f t="array" ref="N111">IFERROR(INDEX('Mr Sandeep Kumar'!N:N,MATCH($B111,'Mr Sandeep Kumar'!$B:$B,0)),IFERROR(INDEX('Mr Manu Vikraman'!N:N,MATCH($B111,'Mr Manu Vikraman'!$B:$B,0)),""))</f>
        <v/>
      </c>
      <c r="O111" s="128" t="str">
        <f t="array" ref="O111">IFERROR(INDEX('Mr Sandeep Kumar'!O:O,MATCH($B111,'Mr Sandeep Kumar'!$B:$B,0)),IFERROR(INDEX('Mr Manu Vikraman'!O:O,MATCH($B111,'Mr Manu Vikraman'!$B:$B,0)),""))</f>
        <v/>
      </c>
      <c r="P111" s="128" t="str">
        <f t="array" ref="P111">IFERROR(INDEX('Mr Sandeep Kumar'!P:P,MATCH($B111,'Mr Sandeep Kumar'!$B:$B,0)),IFERROR(INDEX('Mr Manu Vikraman'!P:P,MATCH($B111,'Mr Manu Vikraman'!$B:$B,0)),""))</f>
        <v/>
      </c>
      <c r="Q111" s="129">
        <f t="shared" si="1"/>
        <v>0</v>
      </c>
      <c r="R111" s="130">
        <f t="shared" si="2"/>
        <v>0</v>
      </c>
      <c r="S111" s="131" t="str">
        <f t="shared" si="3"/>
        <v>D</v>
      </c>
      <c r="T111" s="131" t="str">
        <f t="shared" si="4"/>
        <v>Not Started</v>
      </c>
      <c r="U111" s="132"/>
    </row>
    <row r="112" ht="21.75" customHeight="1">
      <c r="A112" s="125">
        <v>106.0</v>
      </c>
      <c r="B112" s="135" t="s">
        <v>501</v>
      </c>
      <c r="C112" s="134" t="s">
        <v>502</v>
      </c>
      <c r="D112" s="134" t="s">
        <v>503</v>
      </c>
      <c r="E112" s="126"/>
      <c r="F112" s="127"/>
      <c r="G112" s="128" t="str">
        <f t="array" ref="G112">IFERROR(INDEX('Mr Sandeep Kumar'!G:G,MATCH($B112,'Mr Sandeep Kumar'!$B:$B,0)),IFERROR(INDEX('Mr Manu Vikraman'!G:G,MATCH($B112,'Mr Manu Vikraman'!$B:$B,0)),""))</f>
        <v/>
      </c>
      <c r="H112" s="128" t="str">
        <f t="array" ref="H112">IFERROR(INDEX('Mr Sandeep Kumar'!H:H,MATCH($B112,'Mr Sandeep Kumar'!$B:$B,0)),IFERROR(INDEX('Mr Manu Vikraman'!H:H,MATCH($B112,'Mr Manu Vikraman'!$B:$B,0)),""))</f>
        <v/>
      </c>
      <c r="I112" s="128" t="str">
        <f t="array" ref="I112">IFERROR(INDEX('Mr Sandeep Kumar'!I:I,MATCH($B112,'Mr Sandeep Kumar'!$B:$B,0)),IFERROR(INDEX('Mr Manu Vikraman'!I:I,MATCH($B112,'Mr Manu Vikraman'!$B:$B,0)),""))</f>
        <v/>
      </c>
      <c r="J112" s="128" t="str">
        <f t="array" ref="J112">IFERROR(INDEX('Mr Sandeep Kumar'!J:J,MATCH($B112,'Mr Sandeep Kumar'!$B:$B,0)),IFERROR(INDEX('Mr Manu Vikraman'!J:J,MATCH($B112,'Mr Manu Vikraman'!$B:$B,0)),""))</f>
        <v/>
      </c>
      <c r="K112" s="128" t="str">
        <f t="array" ref="K112">IFERROR(INDEX('Mr Sandeep Kumar'!K:K,MATCH($B112,'Mr Sandeep Kumar'!$B:$B,0)),IFERROR(INDEX('Mr Manu Vikraman'!K:K,MATCH($B112,'Mr Manu Vikraman'!$B:$B,0)),""))</f>
        <v/>
      </c>
      <c r="L112" s="128" t="str">
        <f t="array" ref="L112">IFERROR(INDEX('Mr Sandeep Kumar'!L:L,MATCH($B112,'Mr Sandeep Kumar'!$B:$B,0)),IFERROR(INDEX('Mr Manu Vikraman'!L:L,MATCH($B112,'Mr Manu Vikraman'!$B:$B,0)),""))</f>
        <v/>
      </c>
      <c r="M112" s="128" t="str">
        <f t="array" ref="M112">IFERROR(INDEX('Mr Sandeep Kumar'!M:M,MATCH($B112,'Mr Sandeep Kumar'!$B:$B,0)),IFERROR(INDEX('Mr Manu Vikraman'!M:M,MATCH($B112,'Mr Manu Vikraman'!$B:$B,0)),""))</f>
        <v/>
      </c>
      <c r="N112" s="128" t="str">
        <f t="array" ref="N112">IFERROR(INDEX('Mr Sandeep Kumar'!N:N,MATCH($B112,'Mr Sandeep Kumar'!$B:$B,0)),IFERROR(INDEX('Mr Manu Vikraman'!N:N,MATCH($B112,'Mr Manu Vikraman'!$B:$B,0)),""))</f>
        <v/>
      </c>
      <c r="O112" s="128" t="str">
        <f t="array" ref="O112">IFERROR(INDEX('Mr Sandeep Kumar'!O:O,MATCH($B112,'Mr Sandeep Kumar'!$B:$B,0)),IFERROR(INDEX('Mr Manu Vikraman'!O:O,MATCH($B112,'Mr Manu Vikraman'!$B:$B,0)),""))</f>
        <v/>
      </c>
      <c r="P112" s="128" t="str">
        <f t="array" ref="P112">IFERROR(INDEX('Mr Sandeep Kumar'!P:P,MATCH($B112,'Mr Sandeep Kumar'!$B:$B,0)),IFERROR(INDEX('Mr Manu Vikraman'!P:P,MATCH($B112,'Mr Manu Vikraman'!$B:$B,0)),""))</f>
        <v/>
      </c>
      <c r="Q112" s="129">
        <f t="shared" si="1"/>
        <v>0</v>
      </c>
      <c r="R112" s="130">
        <f t="shared" si="2"/>
        <v>0</v>
      </c>
      <c r="S112" s="131" t="str">
        <f t="shared" si="3"/>
        <v>D</v>
      </c>
      <c r="T112" s="131" t="str">
        <f t="shared" si="4"/>
        <v>Not Started</v>
      </c>
      <c r="U112" s="132"/>
    </row>
    <row r="113" ht="21.75" customHeight="1">
      <c r="A113" s="125">
        <v>107.0</v>
      </c>
      <c r="B113" s="135" t="s">
        <v>504</v>
      </c>
      <c r="C113" s="134" t="s">
        <v>505</v>
      </c>
      <c r="D113" s="134" t="s">
        <v>506</v>
      </c>
      <c r="E113" s="126"/>
      <c r="F113" s="127"/>
      <c r="G113" s="128" t="str">
        <f t="array" ref="G113">IFERROR(INDEX('Mr Sandeep Kumar'!G:G,MATCH($B113,'Mr Sandeep Kumar'!$B:$B,0)),IFERROR(INDEX('Mr Manu Vikraman'!G:G,MATCH($B113,'Mr Manu Vikraman'!$B:$B,0)),""))</f>
        <v/>
      </c>
      <c r="H113" s="128" t="str">
        <f t="array" ref="H113">IFERROR(INDEX('Mr Sandeep Kumar'!H:H,MATCH($B113,'Mr Sandeep Kumar'!$B:$B,0)),IFERROR(INDEX('Mr Manu Vikraman'!H:H,MATCH($B113,'Mr Manu Vikraman'!$B:$B,0)),""))</f>
        <v/>
      </c>
      <c r="I113" s="128" t="str">
        <f t="array" ref="I113">IFERROR(INDEX('Mr Sandeep Kumar'!I:I,MATCH($B113,'Mr Sandeep Kumar'!$B:$B,0)),IFERROR(INDEX('Mr Manu Vikraman'!I:I,MATCH($B113,'Mr Manu Vikraman'!$B:$B,0)),""))</f>
        <v/>
      </c>
      <c r="J113" s="128" t="str">
        <f t="array" ref="J113">IFERROR(INDEX('Mr Sandeep Kumar'!J:J,MATCH($B113,'Mr Sandeep Kumar'!$B:$B,0)),IFERROR(INDEX('Mr Manu Vikraman'!J:J,MATCH($B113,'Mr Manu Vikraman'!$B:$B,0)),""))</f>
        <v/>
      </c>
      <c r="K113" s="128" t="str">
        <f t="array" ref="K113">IFERROR(INDEX('Mr Sandeep Kumar'!K:K,MATCH($B113,'Mr Sandeep Kumar'!$B:$B,0)),IFERROR(INDEX('Mr Manu Vikraman'!K:K,MATCH($B113,'Mr Manu Vikraman'!$B:$B,0)),""))</f>
        <v/>
      </c>
      <c r="L113" s="128" t="str">
        <f t="array" ref="L113">IFERROR(INDEX('Mr Sandeep Kumar'!L:L,MATCH($B113,'Mr Sandeep Kumar'!$B:$B,0)),IFERROR(INDEX('Mr Manu Vikraman'!L:L,MATCH($B113,'Mr Manu Vikraman'!$B:$B,0)),""))</f>
        <v/>
      </c>
      <c r="M113" s="128" t="str">
        <f t="array" ref="M113">IFERROR(INDEX('Mr Sandeep Kumar'!M:M,MATCH($B113,'Mr Sandeep Kumar'!$B:$B,0)),IFERROR(INDEX('Mr Manu Vikraman'!M:M,MATCH($B113,'Mr Manu Vikraman'!$B:$B,0)),""))</f>
        <v/>
      </c>
      <c r="N113" s="128" t="str">
        <f t="array" ref="N113">IFERROR(INDEX('Mr Sandeep Kumar'!N:N,MATCH($B113,'Mr Sandeep Kumar'!$B:$B,0)),IFERROR(INDEX('Mr Manu Vikraman'!N:N,MATCH($B113,'Mr Manu Vikraman'!$B:$B,0)),""))</f>
        <v/>
      </c>
      <c r="O113" s="128" t="str">
        <f t="array" ref="O113">IFERROR(INDEX('Mr Sandeep Kumar'!O:O,MATCH($B113,'Mr Sandeep Kumar'!$B:$B,0)),IFERROR(INDEX('Mr Manu Vikraman'!O:O,MATCH($B113,'Mr Manu Vikraman'!$B:$B,0)),""))</f>
        <v/>
      </c>
      <c r="P113" s="128" t="str">
        <f t="array" ref="P113">IFERROR(INDEX('Mr Sandeep Kumar'!P:P,MATCH($B113,'Mr Sandeep Kumar'!$B:$B,0)),IFERROR(INDEX('Mr Manu Vikraman'!P:P,MATCH($B113,'Mr Manu Vikraman'!$B:$B,0)),""))</f>
        <v/>
      </c>
      <c r="Q113" s="129">
        <f t="shared" si="1"/>
        <v>0</v>
      </c>
      <c r="R113" s="130">
        <f t="shared" si="2"/>
        <v>0</v>
      </c>
      <c r="S113" s="131" t="str">
        <f t="shared" si="3"/>
        <v>D</v>
      </c>
      <c r="T113" s="131" t="str">
        <f t="shared" si="4"/>
        <v>Not Started</v>
      </c>
      <c r="U113" s="132"/>
    </row>
    <row r="114" ht="21.75" customHeight="1">
      <c r="A114" s="125">
        <v>108.0</v>
      </c>
      <c r="B114" s="135" t="s">
        <v>507</v>
      </c>
      <c r="C114" s="134" t="s">
        <v>508</v>
      </c>
      <c r="D114" s="134" t="s">
        <v>509</v>
      </c>
      <c r="E114" s="126"/>
      <c r="F114" s="127"/>
      <c r="G114" s="128" t="str">
        <f t="array" ref="G114">IFERROR(INDEX('Mr Sandeep Kumar'!G:G,MATCH($B114,'Mr Sandeep Kumar'!$B:$B,0)),IFERROR(INDEX('Mr Manu Vikraman'!G:G,MATCH($B114,'Mr Manu Vikraman'!$B:$B,0)),""))</f>
        <v/>
      </c>
      <c r="H114" s="128" t="str">
        <f t="array" ref="H114">IFERROR(INDEX('Mr Sandeep Kumar'!H:H,MATCH($B114,'Mr Sandeep Kumar'!$B:$B,0)),IFERROR(INDEX('Mr Manu Vikraman'!H:H,MATCH($B114,'Mr Manu Vikraman'!$B:$B,0)),""))</f>
        <v/>
      </c>
      <c r="I114" s="128" t="str">
        <f t="array" ref="I114">IFERROR(INDEX('Mr Sandeep Kumar'!I:I,MATCH($B114,'Mr Sandeep Kumar'!$B:$B,0)),IFERROR(INDEX('Mr Manu Vikraman'!I:I,MATCH($B114,'Mr Manu Vikraman'!$B:$B,0)),""))</f>
        <v/>
      </c>
      <c r="J114" s="128" t="str">
        <f t="array" ref="J114">IFERROR(INDEX('Mr Sandeep Kumar'!J:J,MATCH($B114,'Mr Sandeep Kumar'!$B:$B,0)),IFERROR(INDEX('Mr Manu Vikraman'!J:J,MATCH($B114,'Mr Manu Vikraman'!$B:$B,0)),""))</f>
        <v/>
      </c>
      <c r="K114" s="128" t="str">
        <f t="array" ref="K114">IFERROR(INDEX('Mr Sandeep Kumar'!K:K,MATCH($B114,'Mr Sandeep Kumar'!$B:$B,0)),IFERROR(INDEX('Mr Manu Vikraman'!K:K,MATCH($B114,'Mr Manu Vikraman'!$B:$B,0)),""))</f>
        <v/>
      </c>
      <c r="L114" s="128" t="str">
        <f t="array" ref="L114">IFERROR(INDEX('Mr Sandeep Kumar'!L:L,MATCH($B114,'Mr Sandeep Kumar'!$B:$B,0)),IFERROR(INDEX('Mr Manu Vikraman'!L:L,MATCH($B114,'Mr Manu Vikraman'!$B:$B,0)),""))</f>
        <v/>
      </c>
      <c r="M114" s="128" t="str">
        <f t="array" ref="M114">IFERROR(INDEX('Mr Sandeep Kumar'!M:M,MATCH($B114,'Mr Sandeep Kumar'!$B:$B,0)),IFERROR(INDEX('Mr Manu Vikraman'!M:M,MATCH($B114,'Mr Manu Vikraman'!$B:$B,0)),""))</f>
        <v/>
      </c>
      <c r="N114" s="128" t="str">
        <f t="array" ref="N114">IFERROR(INDEX('Mr Sandeep Kumar'!N:N,MATCH($B114,'Mr Sandeep Kumar'!$B:$B,0)),IFERROR(INDEX('Mr Manu Vikraman'!N:N,MATCH($B114,'Mr Manu Vikraman'!$B:$B,0)),""))</f>
        <v/>
      </c>
      <c r="O114" s="128" t="str">
        <f t="array" ref="O114">IFERROR(INDEX('Mr Sandeep Kumar'!O:O,MATCH($B114,'Mr Sandeep Kumar'!$B:$B,0)),IFERROR(INDEX('Mr Manu Vikraman'!O:O,MATCH($B114,'Mr Manu Vikraman'!$B:$B,0)),""))</f>
        <v/>
      </c>
      <c r="P114" s="128" t="str">
        <f t="array" ref="P114">IFERROR(INDEX('Mr Sandeep Kumar'!P:P,MATCH($B114,'Mr Sandeep Kumar'!$B:$B,0)),IFERROR(INDEX('Mr Manu Vikraman'!P:P,MATCH($B114,'Mr Manu Vikraman'!$B:$B,0)),""))</f>
        <v/>
      </c>
      <c r="Q114" s="129">
        <f t="shared" si="1"/>
        <v>0</v>
      </c>
      <c r="R114" s="130">
        <f t="shared" si="2"/>
        <v>0</v>
      </c>
      <c r="S114" s="131" t="str">
        <f t="shared" si="3"/>
        <v>D</v>
      </c>
      <c r="T114" s="131" t="str">
        <f t="shared" si="4"/>
        <v>Not Started</v>
      </c>
      <c r="U114" s="132"/>
    </row>
    <row r="115" ht="21.75" customHeight="1">
      <c r="A115" s="125">
        <v>109.0</v>
      </c>
      <c r="B115" s="135" t="s">
        <v>510</v>
      </c>
      <c r="C115" s="134" t="s">
        <v>511</v>
      </c>
      <c r="D115" s="134" t="s">
        <v>512</v>
      </c>
      <c r="E115" s="126"/>
      <c r="F115" s="127"/>
      <c r="G115" s="128" t="str">
        <f t="array" ref="G115">IFERROR(INDEX('Mr Sandeep Kumar'!G:G,MATCH($B115,'Mr Sandeep Kumar'!$B:$B,0)),IFERROR(INDEX('Mr Manu Vikraman'!G:G,MATCH($B115,'Mr Manu Vikraman'!$B:$B,0)),""))</f>
        <v/>
      </c>
      <c r="H115" s="128" t="str">
        <f t="array" ref="H115">IFERROR(INDEX('Mr Sandeep Kumar'!H:H,MATCH($B115,'Mr Sandeep Kumar'!$B:$B,0)),IFERROR(INDEX('Mr Manu Vikraman'!H:H,MATCH($B115,'Mr Manu Vikraman'!$B:$B,0)),""))</f>
        <v/>
      </c>
      <c r="I115" s="128" t="str">
        <f t="array" ref="I115">IFERROR(INDEX('Mr Sandeep Kumar'!I:I,MATCH($B115,'Mr Sandeep Kumar'!$B:$B,0)),IFERROR(INDEX('Mr Manu Vikraman'!I:I,MATCH($B115,'Mr Manu Vikraman'!$B:$B,0)),""))</f>
        <v/>
      </c>
      <c r="J115" s="128" t="str">
        <f t="array" ref="J115">IFERROR(INDEX('Mr Sandeep Kumar'!J:J,MATCH($B115,'Mr Sandeep Kumar'!$B:$B,0)),IFERROR(INDEX('Mr Manu Vikraman'!J:J,MATCH($B115,'Mr Manu Vikraman'!$B:$B,0)),""))</f>
        <v/>
      </c>
      <c r="K115" s="128" t="str">
        <f t="array" ref="K115">IFERROR(INDEX('Mr Sandeep Kumar'!K:K,MATCH($B115,'Mr Sandeep Kumar'!$B:$B,0)),IFERROR(INDEX('Mr Manu Vikraman'!K:K,MATCH($B115,'Mr Manu Vikraman'!$B:$B,0)),""))</f>
        <v/>
      </c>
      <c r="L115" s="128" t="str">
        <f t="array" ref="L115">IFERROR(INDEX('Mr Sandeep Kumar'!L:L,MATCH($B115,'Mr Sandeep Kumar'!$B:$B,0)),IFERROR(INDEX('Mr Manu Vikraman'!L:L,MATCH($B115,'Mr Manu Vikraman'!$B:$B,0)),""))</f>
        <v/>
      </c>
      <c r="M115" s="128" t="str">
        <f t="array" ref="M115">IFERROR(INDEX('Mr Sandeep Kumar'!M:M,MATCH($B115,'Mr Sandeep Kumar'!$B:$B,0)),IFERROR(INDEX('Mr Manu Vikraman'!M:M,MATCH($B115,'Mr Manu Vikraman'!$B:$B,0)),""))</f>
        <v/>
      </c>
      <c r="N115" s="128" t="str">
        <f t="array" ref="N115">IFERROR(INDEX('Mr Sandeep Kumar'!N:N,MATCH($B115,'Mr Sandeep Kumar'!$B:$B,0)),IFERROR(INDEX('Mr Manu Vikraman'!N:N,MATCH($B115,'Mr Manu Vikraman'!$B:$B,0)),""))</f>
        <v/>
      </c>
      <c r="O115" s="128" t="str">
        <f t="array" ref="O115">IFERROR(INDEX('Mr Sandeep Kumar'!O:O,MATCH($B115,'Mr Sandeep Kumar'!$B:$B,0)),IFERROR(INDEX('Mr Manu Vikraman'!O:O,MATCH($B115,'Mr Manu Vikraman'!$B:$B,0)),""))</f>
        <v/>
      </c>
      <c r="P115" s="128" t="str">
        <f t="array" ref="P115">IFERROR(INDEX('Mr Sandeep Kumar'!P:P,MATCH($B115,'Mr Sandeep Kumar'!$B:$B,0)),IFERROR(INDEX('Mr Manu Vikraman'!P:P,MATCH($B115,'Mr Manu Vikraman'!$B:$B,0)),""))</f>
        <v/>
      </c>
      <c r="Q115" s="129">
        <f t="shared" si="1"/>
        <v>0</v>
      </c>
      <c r="R115" s="130">
        <f t="shared" si="2"/>
        <v>0</v>
      </c>
      <c r="S115" s="131" t="str">
        <f t="shared" si="3"/>
        <v>D</v>
      </c>
      <c r="T115" s="131" t="str">
        <f t="shared" si="4"/>
        <v>Not Started</v>
      </c>
      <c r="U115" s="132"/>
    </row>
    <row r="116" ht="21.75" customHeight="1">
      <c r="A116" s="125">
        <v>110.0</v>
      </c>
      <c r="B116" s="135" t="s">
        <v>513</v>
      </c>
      <c r="C116" s="134" t="s">
        <v>514</v>
      </c>
      <c r="D116" s="134" t="s">
        <v>515</v>
      </c>
      <c r="E116" s="126"/>
      <c r="F116" s="127"/>
      <c r="G116" s="128" t="str">
        <f t="array" ref="G116">IFERROR(INDEX('Mr Sandeep Kumar'!G:G,MATCH($B116,'Mr Sandeep Kumar'!$B:$B,0)),IFERROR(INDEX('Mr Manu Vikraman'!G:G,MATCH($B116,'Mr Manu Vikraman'!$B:$B,0)),""))</f>
        <v/>
      </c>
      <c r="H116" s="128" t="str">
        <f t="array" ref="H116">IFERROR(INDEX('Mr Sandeep Kumar'!H:H,MATCH($B116,'Mr Sandeep Kumar'!$B:$B,0)),IFERROR(INDEX('Mr Manu Vikraman'!H:H,MATCH($B116,'Mr Manu Vikraman'!$B:$B,0)),""))</f>
        <v/>
      </c>
      <c r="I116" s="128" t="str">
        <f t="array" ref="I116">IFERROR(INDEX('Mr Sandeep Kumar'!I:I,MATCH($B116,'Mr Sandeep Kumar'!$B:$B,0)),IFERROR(INDEX('Mr Manu Vikraman'!I:I,MATCH($B116,'Mr Manu Vikraman'!$B:$B,0)),""))</f>
        <v/>
      </c>
      <c r="J116" s="128" t="str">
        <f t="array" ref="J116">IFERROR(INDEX('Mr Sandeep Kumar'!J:J,MATCH($B116,'Mr Sandeep Kumar'!$B:$B,0)),IFERROR(INDEX('Mr Manu Vikraman'!J:J,MATCH($B116,'Mr Manu Vikraman'!$B:$B,0)),""))</f>
        <v/>
      </c>
      <c r="K116" s="128" t="str">
        <f t="array" ref="K116">IFERROR(INDEX('Mr Sandeep Kumar'!K:K,MATCH($B116,'Mr Sandeep Kumar'!$B:$B,0)),IFERROR(INDEX('Mr Manu Vikraman'!K:K,MATCH($B116,'Mr Manu Vikraman'!$B:$B,0)),""))</f>
        <v/>
      </c>
      <c r="L116" s="128" t="str">
        <f t="array" ref="L116">IFERROR(INDEX('Mr Sandeep Kumar'!L:L,MATCH($B116,'Mr Sandeep Kumar'!$B:$B,0)),IFERROR(INDEX('Mr Manu Vikraman'!L:L,MATCH($B116,'Mr Manu Vikraman'!$B:$B,0)),""))</f>
        <v/>
      </c>
      <c r="M116" s="128" t="str">
        <f t="array" ref="M116">IFERROR(INDEX('Mr Sandeep Kumar'!M:M,MATCH($B116,'Mr Sandeep Kumar'!$B:$B,0)),IFERROR(INDEX('Mr Manu Vikraman'!M:M,MATCH($B116,'Mr Manu Vikraman'!$B:$B,0)),""))</f>
        <v/>
      </c>
      <c r="N116" s="128" t="str">
        <f t="array" ref="N116">IFERROR(INDEX('Mr Sandeep Kumar'!N:N,MATCH($B116,'Mr Sandeep Kumar'!$B:$B,0)),IFERROR(INDEX('Mr Manu Vikraman'!N:N,MATCH($B116,'Mr Manu Vikraman'!$B:$B,0)),""))</f>
        <v/>
      </c>
      <c r="O116" s="128" t="str">
        <f t="array" ref="O116">IFERROR(INDEX('Mr Sandeep Kumar'!O:O,MATCH($B116,'Mr Sandeep Kumar'!$B:$B,0)),IFERROR(INDEX('Mr Manu Vikraman'!O:O,MATCH($B116,'Mr Manu Vikraman'!$B:$B,0)),""))</f>
        <v/>
      </c>
      <c r="P116" s="128" t="str">
        <f t="array" ref="P116">IFERROR(INDEX('Mr Sandeep Kumar'!P:P,MATCH($B116,'Mr Sandeep Kumar'!$B:$B,0)),IFERROR(INDEX('Mr Manu Vikraman'!P:P,MATCH($B116,'Mr Manu Vikraman'!$B:$B,0)),""))</f>
        <v/>
      </c>
      <c r="Q116" s="129">
        <f t="shared" si="1"/>
        <v>0</v>
      </c>
      <c r="R116" s="130">
        <f t="shared" si="2"/>
        <v>0</v>
      </c>
      <c r="S116" s="131" t="str">
        <f t="shared" si="3"/>
        <v>D</v>
      </c>
      <c r="T116" s="131" t="str">
        <f t="shared" si="4"/>
        <v>Not Started</v>
      </c>
      <c r="U116" s="132"/>
    </row>
    <row r="117" ht="21.75" customHeight="1">
      <c r="A117" s="125">
        <v>111.0</v>
      </c>
      <c r="B117" s="135" t="s">
        <v>516</v>
      </c>
      <c r="C117" s="134" t="s">
        <v>517</v>
      </c>
      <c r="D117" s="134" t="s">
        <v>518</v>
      </c>
      <c r="E117" s="126"/>
      <c r="F117" s="127"/>
      <c r="G117" s="128" t="str">
        <f t="array" ref="G117">IFERROR(INDEX('Mr Sandeep Kumar'!G:G,MATCH($B117,'Mr Sandeep Kumar'!$B:$B,0)),IFERROR(INDEX('Mr Manu Vikraman'!G:G,MATCH($B117,'Mr Manu Vikraman'!$B:$B,0)),""))</f>
        <v/>
      </c>
      <c r="H117" s="128" t="str">
        <f t="array" ref="H117">IFERROR(INDEX('Mr Sandeep Kumar'!H:H,MATCH($B117,'Mr Sandeep Kumar'!$B:$B,0)),IFERROR(INDEX('Mr Manu Vikraman'!H:H,MATCH($B117,'Mr Manu Vikraman'!$B:$B,0)),""))</f>
        <v/>
      </c>
      <c r="I117" s="128" t="str">
        <f t="array" ref="I117">IFERROR(INDEX('Mr Sandeep Kumar'!I:I,MATCH($B117,'Mr Sandeep Kumar'!$B:$B,0)),IFERROR(INDEX('Mr Manu Vikraman'!I:I,MATCH($B117,'Mr Manu Vikraman'!$B:$B,0)),""))</f>
        <v/>
      </c>
      <c r="J117" s="128" t="str">
        <f t="array" ref="J117">IFERROR(INDEX('Mr Sandeep Kumar'!J:J,MATCH($B117,'Mr Sandeep Kumar'!$B:$B,0)),IFERROR(INDEX('Mr Manu Vikraman'!J:J,MATCH($B117,'Mr Manu Vikraman'!$B:$B,0)),""))</f>
        <v/>
      </c>
      <c r="K117" s="128" t="str">
        <f t="array" ref="K117">IFERROR(INDEX('Mr Sandeep Kumar'!K:K,MATCH($B117,'Mr Sandeep Kumar'!$B:$B,0)),IFERROR(INDEX('Mr Manu Vikraman'!K:K,MATCH($B117,'Mr Manu Vikraman'!$B:$B,0)),""))</f>
        <v/>
      </c>
      <c r="L117" s="128" t="str">
        <f t="array" ref="L117">IFERROR(INDEX('Mr Sandeep Kumar'!L:L,MATCH($B117,'Mr Sandeep Kumar'!$B:$B,0)),IFERROR(INDEX('Mr Manu Vikraman'!L:L,MATCH($B117,'Mr Manu Vikraman'!$B:$B,0)),""))</f>
        <v/>
      </c>
      <c r="M117" s="128" t="str">
        <f t="array" ref="M117">IFERROR(INDEX('Mr Sandeep Kumar'!M:M,MATCH($B117,'Mr Sandeep Kumar'!$B:$B,0)),IFERROR(INDEX('Mr Manu Vikraman'!M:M,MATCH($B117,'Mr Manu Vikraman'!$B:$B,0)),""))</f>
        <v/>
      </c>
      <c r="N117" s="128" t="str">
        <f t="array" ref="N117">IFERROR(INDEX('Mr Sandeep Kumar'!N:N,MATCH($B117,'Mr Sandeep Kumar'!$B:$B,0)),IFERROR(INDEX('Mr Manu Vikraman'!N:N,MATCH($B117,'Mr Manu Vikraman'!$B:$B,0)),""))</f>
        <v/>
      </c>
      <c r="O117" s="128" t="str">
        <f t="array" ref="O117">IFERROR(INDEX('Mr Sandeep Kumar'!O:O,MATCH($B117,'Mr Sandeep Kumar'!$B:$B,0)),IFERROR(INDEX('Mr Manu Vikraman'!O:O,MATCH($B117,'Mr Manu Vikraman'!$B:$B,0)),""))</f>
        <v/>
      </c>
      <c r="P117" s="128" t="str">
        <f t="array" ref="P117">IFERROR(INDEX('Mr Sandeep Kumar'!P:P,MATCH($B117,'Mr Sandeep Kumar'!$B:$B,0)),IFERROR(INDEX('Mr Manu Vikraman'!P:P,MATCH($B117,'Mr Manu Vikraman'!$B:$B,0)),""))</f>
        <v/>
      </c>
      <c r="Q117" s="129">
        <f t="shared" si="1"/>
        <v>0</v>
      </c>
      <c r="R117" s="130">
        <f t="shared" si="2"/>
        <v>0</v>
      </c>
      <c r="S117" s="131" t="str">
        <f t="shared" si="3"/>
        <v>D</v>
      </c>
      <c r="T117" s="131" t="str">
        <f t="shared" si="4"/>
        <v>Not Started</v>
      </c>
      <c r="U117" s="132"/>
    </row>
    <row r="118" ht="21.75" customHeight="1">
      <c r="A118" s="125">
        <v>112.0</v>
      </c>
      <c r="B118" s="135" t="s">
        <v>519</v>
      </c>
      <c r="C118" s="134" t="s">
        <v>520</v>
      </c>
      <c r="D118" s="134" t="s">
        <v>521</v>
      </c>
      <c r="E118" s="126"/>
      <c r="F118" s="127"/>
      <c r="G118" s="128" t="str">
        <f t="array" ref="G118">IFERROR(INDEX('Mr Sandeep Kumar'!G:G,MATCH($B118,'Mr Sandeep Kumar'!$B:$B,0)),IFERROR(INDEX('Mr Manu Vikraman'!G:G,MATCH($B118,'Mr Manu Vikraman'!$B:$B,0)),""))</f>
        <v/>
      </c>
      <c r="H118" s="128" t="str">
        <f t="array" ref="H118">IFERROR(INDEX('Mr Sandeep Kumar'!H:H,MATCH($B118,'Mr Sandeep Kumar'!$B:$B,0)),IFERROR(INDEX('Mr Manu Vikraman'!H:H,MATCH($B118,'Mr Manu Vikraman'!$B:$B,0)),""))</f>
        <v/>
      </c>
      <c r="I118" s="128" t="str">
        <f t="array" ref="I118">IFERROR(INDEX('Mr Sandeep Kumar'!I:I,MATCH($B118,'Mr Sandeep Kumar'!$B:$B,0)),IFERROR(INDEX('Mr Manu Vikraman'!I:I,MATCH($B118,'Mr Manu Vikraman'!$B:$B,0)),""))</f>
        <v/>
      </c>
      <c r="J118" s="128" t="str">
        <f t="array" ref="J118">IFERROR(INDEX('Mr Sandeep Kumar'!J:J,MATCH($B118,'Mr Sandeep Kumar'!$B:$B,0)),IFERROR(INDEX('Mr Manu Vikraman'!J:J,MATCH($B118,'Mr Manu Vikraman'!$B:$B,0)),""))</f>
        <v/>
      </c>
      <c r="K118" s="128" t="str">
        <f t="array" ref="K118">IFERROR(INDEX('Mr Sandeep Kumar'!K:K,MATCH($B118,'Mr Sandeep Kumar'!$B:$B,0)),IFERROR(INDEX('Mr Manu Vikraman'!K:K,MATCH($B118,'Mr Manu Vikraman'!$B:$B,0)),""))</f>
        <v/>
      </c>
      <c r="L118" s="128" t="str">
        <f t="array" ref="L118">IFERROR(INDEX('Mr Sandeep Kumar'!L:L,MATCH($B118,'Mr Sandeep Kumar'!$B:$B,0)),IFERROR(INDEX('Mr Manu Vikraman'!L:L,MATCH($B118,'Mr Manu Vikraman'!$B:$B,0)),""))</f>
        <v/>
      </c>
      <c r="M118" s="128" t="str">
        <f t="array" ref="M118">IFERROR(INDEX('Mr Sandeep Kumar'!M:M,MATCH($B118,'Mr Sandeep Kumar'!$B:$B,0)),IFERROR(INDEX('Mr Manu Vikraman'!M:M,MATCH($B118,'Mr Manu Vikraman'!$B:$B,0)),""))</f>
        <v/>
      </c>
      <c r="N118" s="128" t="str">
        <f t="array" ref="N118">IFERROR(INDEX('Mr Sandeep Kumar'!N:N,MATCH($B118,'Mr Sandeep Kumar'!$B:$B,0)),IFERROR(INDEX('Mr Manu Vikraman'!N:N,MATCH($B118,'Mr Manu Vikraman'!$B:$B,0)),""))</f>
        <v/>
      </c>
      <c r="O118" s="128" t="str">
        <f t="array" ref="O118">IFERROR(INDEX('Mr Sandeep Kumar'!O:O,MATCH($B118,'Mr Sandeep Kumar'!$B:$B,0)),IFERROR(INDEX('Mr Manu Vikraman'!O:O,MATCH($B118,'Mr Manu Vikraman'!$B:$B,0)),""))</f>
        <v/>
      </c>
      <c r="P118" s="128" t="str">
        <f t="array" ref="P118">IFERROR(INDEX('Mr Sandeep Kumar'!P:P,MATCH($B118,'Mr Sandeep Kumar'!$B:$B,0)),IFERROR(INDEX('Mr Manu Vikraman'!P:P,MATCH($B118,'Mr Manu Vikraman'!$B:$B,0)),""))</f>
        <v/>
      </c>
      <c r="Q118" s="129">
        <f t="shared" si="1"/>
        <v>0</v>
      </c>
      <c r="R118" s="130">
        <f t="shared" si="2"/>
        <v>0</v>
      </c>
      <c r="S118" s="131" t="str">
        <f t="shared" si="3"/>
        <v>D</v>
      </c>
      <c r="T118" s="131" t="str">
        <f t="shared" si="4"/>
        <v>Not Started</v>
      </c>
      <c r="U118" s="132"/>
    </row>
    <row r="119" ht="21.75" customHeight="1">
      <c r="A119" s="125">
        <v>113.0</v>
      </c>
      <c r="B119" s="135" t="s">
        <v>522</v>
      </c>
      <c r="C119" s="134" t="s">
        <v>523</v>
      </c>
      <c r="D119" s="134" t="s">
        <v>524</v>
      </c>
      <c r="E119" s="126"/>
      <c r="F119" s="127"/>
      <c r="G119" s="128" t="str">
        <f t="array" ref="G119">IFERROR(INDEX('Mr Sandeep Kumar'!G:G,MATCH($B119,'Mr Sandeep Kumar'!$B:$B,0)),IFERROR(INDEX('Mr Manu Vikraman'!G:G,MATCH($B119,'Mr Manu Vikraman'!$B:$B,0)),""))</f>
        <v/>
      </c>
      <c r="H119" s="128" t="str">
        <f t="array" ref="H119">IFERROR(INDEX('Mr Sandeep Kumar'!H:H,MATCH($B119,'Mr Sandeep Kumar'!$B:$B,0)),IFERROR(INDEX('Mr Manu Vikraman'!H:H,MATCH($B119,'Mr Manu Vikraman'!$B:$B,0)),""))</f>
        <v/>
      </c>
      <c r="I119" s="128" t="str">
        <f t="array" ref="I119">IFERROR(INDEX('Mr Sandeep Kumar'!I:I,MATCH($B119,'Mr Sandeep Kumar'!$B:$B,0)),IFERROR(INDEX('Mr Manu Vikraman'!I:I,MATCH($B119,'Mr Manu Vikraman'!$B:$B,0)),""))</f>
        <v/>
      </c>
      <c r="J119" s="128" t="str">
        <f t="array" ref="J119">IFERROR(INDEX('Mr Sandeep Kumar'!J:J,MATCH($B119,'Mr Sandeep Kumar'!$B:$B,0)),IFERROR(INDEX('Mr Manu Vikraman'!J:J,MATCH($B119,'Mr Manu Vikraman'!$B:$B,0)),""))</f>
        <v/>
      </c>
      <c r="K119" s="128" t="str">
        <f t="array" ref="K119">IFERROR(INDEX('Mr Sandeep Kumar'!K:K,MATCH($B119,'Mr Sandeep Kumar'!$B:$B,0)),IFERROR(INDEX('Mr Manu Vikraman'!K:K,MATCH($B119,'Mr Manu Vikraman'!$B:$B,0)),""))</f>
        <v/>
      </c>
      <c r="L119" s="128" t="str">
        <f t="array" ref="L119">IFERROR(INDEX('Mr Sandeep Kumar'!L:L,MATCH($B119,'Mr Sandeep Kumar'!$B:$B,0)),IFERROR(INDEX('Mr Manu Vikraman'!L:L,MATCH($B119,'Mr Manu Vikraman'!$B:$B,0)),""))</f>
        <v/>
      </c>
      <c r="M119" s="128" t="str">
        <f t="array" ref="M119">IFERROR(INDEX('Mr Sandeep Kumar'!M:M,MATCH($B119,'Mr Sandeep Kumar'!$B:$B,0)),IFERROR(INDEX('Mr Manu Vikraman'!M:M,MATCH($B119,'Mr Manu Vikraman'!$B:$B,0)),""))</f>
        <v/>
      </c>
      <c r="N119" s="128" t="str">
        <f t="array" ref="N119">IFERROR(INDEX('Mr Sandeep Kumar'!N:N,MATCH($B119,'Mr Sandeep Kumar'!$B:$B,0)),IFERROR(INDEX('Mr Manu Vikraman'!N:N,MATCH($B119,'Mr Manu Vikraman'!$B:$B,0)),""))</f>
        <v/>
      </c>
      <c r="O119" s="128" t="str">
        <f t="array" ref="O119">IFERROR(INDEX('Mr Sandeep Kumar'!O:O,MATCH($B119,'Mr Sandeep Kumar'!$B:$B,0)),IFERROR(INDEX('Mr Manu Vikraman'!O:O,MATCH($B119,'Mr Manu Vikraman'!$B:$B,0)),""))</f>
        <v/>
      </c>
      <c r="P119" s="128" t="str">
        <f t="array" ref="P119">IFERROR(INDEX('Mr Sandeep Kumar'!P:P,MATCH($B119,'Mr Sandeep Kumar'!$B:$B,0)),IFERROR(INDEX('Mr Manu Vikraman'!P:P,MATCH($B119,'Mr Manu Vikraman'!$B:$B,0)),""))</f>
        <v/>
      </c>
      <c r="Q119" s="129">
        <f t="shared" si="1"/>
        <v>0</v>
      </c>
      <c r="R119" s="130">
        <f t="shared" si="2"/>
        <v>0</v>
      </c>
      <c r="S119" s="131" t="str">
        <f t="shared" si="3"/>
        <v>D</v>
      </c>
      <c r="T119" s="131" t="str">
        <f t="shared" si="4"/>
        <v>Not Started</v>
      </c>
      <c r="U119" s="132"/>
    </row>
    <row r="120" ht="21.75" customHeight="1">
      <c r="A120" s="125">
        <v>114.0</v>
      </c>
      <c r="B120" s="135" t="s">
        <v>525</v>
      </c>
      <c r="C120" s="134" t="s">
        <v>526</v>
      </c>
      <c r="D120" s="134" t="s">
        <v>527</v>
      </c>
      <c r="E120" s="126"/>
      <c r="F120" s="127"/>
      <c r="G120" s="128" t="str">
        <f t="array" ref="G120">IFERROR(INDEX('Mr Sandeep Kumar'!G:G,MATCH($B120,'Mr Sandeep Kumar'!$B:$B,0)),IFERROR(INDEX('Mr Manu Vikraman'!G:G,MATCH($B120,'Mr Manu Vikraman'!$B:$B,0)),""))</f>
        <v/>
      </c>
      <c r="H120" s="128" t="str">
        <f t="array" ref="H120">IFERROR(INDEX('Mr Sandeep Kumar'!H:H,MATCH($B120,'Mr Sandeep Kumar'!$B:$B,0)),IFERROR(INDEX('Mr Manu Vikraman'!H:H,MATCH($B120,'Mr Manu Vikraman'!$B:$B,0)),""))</f>
        <v/>
      </c>
      <c r="I120" s="128" t="str">
        <f t="array" ref="I120">IFERROR(INDEX('Mr Sandeep Kumar'!I:I,MATCH($B120,'Mr Sandeep Kumar'!$B:$B,0)),IFERROR(INDEX('Mr Manu Vikraman'!I:I,MATCH($B120,'Mr Manu Vikraman'!$B:$B,0)),""))</f>
        <v/>
      </c>
      <c r="J120" s="128" t="str">
        <f t="array" ref="J120">IFERROR(INDEX('Mr Sandeep Kumar'!J:J,MATCH($B120,'Mr Sandeep Kumar'!$B:$B,0)),IFERROR(INDEX('Mr Manu Vikraman'!J:J,MATCH($B120,'Mr Manu Vikraman'!$B:$B,0)),""))</f>
        <v/>
      </c>
      <c r="K120" s="128" t="str">
        <f t="array" ref="K120">IFERROR(INDEX('Mr Sandeep Kumar'!K:K,MATCH($B120,'Mr Sandeep Kumar'!$B:$B,0)),IFERROR(INDEX('Mr Manu Vikraman'!K:K,MATCH($B120,'Mr Manu Vikraman'!$B:$B,0)),""))</f>
        <v/>
      </c>
      <c r="L120" s="128" t="str">
        <f t="array" ref="L120">IFERROR(INDEX('Mr Sandeep Kumar'!L:L,MATCH($B120,'Mr Sandeep Kumar'!$B:$B,0)),IFERROR(INDEX('Mr Manu Vikraman'!L:L,MATCH($B120,'Mr Manu Vikraman'!$B:$B,0)),""))</f>
        <v/>
      </c>
      <c r="M120" s="128" t="str">
        <f t="array" ref="M120">IFERROR(INDEX('Mr Sandeep Kumar'!M:M,MATCH($B120,'Mr Sandeep Kumar'!$B:$B,0)),IFERROR(INDEX('Mr Manu Vikraman'!M:M,MATCH($B120,'Mr Manu Vikraman'!$B:$B,0)),""))</f>
        <v/>
      </c>
      <c r="N120" s="128" t="str">
        <f t="array" ref="N120">IFERROR(INDEX('Mr Sandeep Kumar'!N:N,MATCH($B120,'Mr Sandeep Kumar'!$B:$B,0)),IFERROR(INDEX('Mr Manu Vikraman'!N:N,MATCH($B120,'Mr Manu Vikraman'!$B:$B,0)),""))</f>
        <v/>
      </c>
      <c r="O120" s="128" t="str">
        <f t="array" ref="O120">IFERROR(INDEX('Mr Sandeep Kumar'!O:O,MATCH($B120,'Mr Sandeep Kumar'!$B:$B,0)),IFERROR(INDEX('Mr Manu Vikraman'!O:O,MATCH($B120,'Mr Manu Vikraman'!$B:$B,0)),""))</f>
        <v/>
      </c>
      <c r="P120" s="128" t="str">
        <f t="array" ref="P120">IFERROR(INDEX('Mr Sandeep Kumar'!P:P,MATCH($B120,'Mr Sandeep Kumar'!$B:$B,0)),IFERROR(INDEX('Mr Manu Vikraman'!P:P,MATCH($B120,'Mr Manu Vikraman'!$B:$B,0)),""))</f>
        <v/>
      </c>
      <c r="Q120" s="129">
        <f t="shared" si="1"/>
        <v>0</v>
      </c>
      <c r="R120" s="130">
        <f t="shared" si="2"/>
        <v>0</v>
      </c>
      <c r="S120" s="131" t="str">
        <f t="shared" si="3"/>
        <v>D</v>
      </c>
      <c r="T120" s="131" t="str">
        <f t="shared" si="4"/>
        <v>Not Started</v>
      </c>
      <c r="U120" s="132"/>
    </row>
    <row r="121" ht="21.75" customHeight="1">
      <c r="A121" s="125">
        <v>115.0</v>
      </c>
      <c r="B121" s="135" t="s">
        <v>528</v>
      </c>
      <c r="C121" s="134" t="s">
        <v>529</v>
      </c>
      <c r="D121" s="134" t="s">
        <v>530</v>
      </c>
      <c r="E121" s="126"/>
      <c r="F121" s="127"/>
      <c r="G121" s="128" t="str">
        <f t="array" ref="G121">IFERROR(INDEX('Mr Sandeep Kumar'!G:G,MATCH($B121,'Mr Sandeep Kumar'!$B:$B,0)),IFERROR(INDEX('Mr Manu Vikraman'!G:G,MATCH($B121,'Mr Manu Vikraman'!$B:$B,0)),""))</f>
        <v/>
      </c>
      <c r="H121" s="128" t="str">
        <f t="array" ref="H121">IFERROR(INDEX('Mr Sandeep Kumar'!H:H,MATCH($B121,'Mr Sandeep Kumar'!$B:$B,0)),IFERROR(INDEX('Mr Manu Vikraman'!H:H,MATCH($B121,'Mr Manu Vikraman'!$B:$B,0)),""))</f>
        <v/>
      </c>
      <c r="I121" s="128" t="str">
        <f t="array" ref="I121">IFERROR(INDEX('Mr Sandeep Kumar'!I:I,MATCH($B121,'Mr Sandeep Kumar'!$B:$B,0)),IFERROR(INDEX('Mr Manu Vikraman'!I:I,MATCH($B121,'Mr Manu Vikraman'!$B:$B,0)),""))</f>
        <v/>
      </c>
      <c r="J121" s="128" t="str">
        <f t="array" ref="J121">IFERROR(INDEX('Mr Sandeep Kumar'!J:J,MATCH($B121,'Mr Sandeep Kumar'!$B:$B,0)),IFERROR(INDEX('Mr Manu Vikraman'!J:J,MATCH($B121,'Mr Manu Vikraman'!$B:$B,0)),""))</f>
        <v/>
      </c>
      <c r="K121" s="128" t="str">
        <f t="array" ref="K121">IFERROR(INDEX('Mr Sandeep Kumar'!K:K,MATCH($B121,'Mr Sandeep Kumar'!$B:$B,0)),IFERROR(INDEX('Mr Manu Vikraman'!K:K,MATCH($B121,'Mr Manu Vikraman'!$B:$B,0)),""))</f>
        <v/>
      </c>
      <c r="L121" s="128" t="str">
        <f t="array" ref="L121">IFERROR(INDEX('Mr Sandeep Kumar'!L:L,MATCH($B121,'Mr Sandeep Kumar'!$B:$B,0)),IFERROR(INDEX('Mr Manu Vikraman'!L:L,MATCH($B121,'Mr Manu Vikraman'!$B:$B,0)),""))</f>
        <v/>
      </c>
      <c r="M121" s="128" t="str">
        <f t="array" ref="M121">IFERROR(INDEX('Mr Sandeep Kumar'!M:M,MATCH($B121,'Mr Sandeep Kumar'!$B:$B,0)),IFERROR(INDEX('Mr Manu Vikraman'!M:M,MATCH($B121,'Mr Manu Vikraman'!$B:$B,0)),""))</f>
        <v/>
      </c>
      <c r="N121" s="128" t="str">
        <f t="array" ref="N121">IFERROR(INDEX('Mr Sandeep Kumar'!N:N,MATCH($B121,'Mr Sandeep Kumar'!$B:$B,0)),IFERROR(INDEX('Mr Manu Vikraman'!N:N,MATCH($B121,'Mr Manu Vikraman'!$B:$B,0)),""))</f>
        <v/>
      </c>
      <c r="O121" s="128" t="str">
        <f t="array" ref="O121">IFERROR(INDEX('Mr Sandeep Kumar'!O:O,MATCH($B121,'Mr Sandeep Kumar'!$B:$B,0)),IFERROR(INDEX('Mr Manu Vikraman'!O:O,MATCH($B121,'Mr Manu Vikraman'!$B:$B,0)),""))</f>
        <v/>
      </c>
      <c r="P121" s="128" t="str">
        <f t="array" ref="P121">IFERROR(INDEX('Mr Sandeep Kumar'!P:P,MATCH($B121,'Mr Sandeep Kumar'!$B:$B,0)),IFERROR(INDEX('Mr Manu Vikraman'!P:P,MATCH($B121,'Mr Manu Vikraman'!$B:$B,0)),""))</f>
        <v/>
      </c>
      <c r="Q121" s="129">
        <f t="shared" si="1"/>
        <v>0</v>
      </c>
      <c r="R121" s="130">
        <f t="shared" si="2"/>
        <v>0</v>
      </c>
      <c r="S121" s="131" t="str">
        <f t="shared" si="3"/>
        <v>D</v>
      </c>
      <c r="T121" s="131" t="str">
        <f t="shared" si="4"/>
        <v>Not Started</v>
      </c>
      <c r="U121" s="132"/>
    </row>
    <row r="122" ht="21.75" customHeight="1">
      <c r="A122" s="125">
        <v>116.0</v>
      </c>
      <c r="B122" s="135" t="s">
        <v>531</v>
      </c>
      <c r="C122" s="134" t="s">
        <v>532</v>
      </c>
      <c r="D122" s="134" t="s">
        <v>533</v>
      </c>
      <c r="E122" s="126"/>
      <c r="F122" s="127"/>
      <c r="G122" s="128" t="str">
        <f t="array" ref="G122">IFERROR(INDEX('Mr Sandeep Kumar'!G:G,MATCH($B122,'Mr Sandeep Kumar'!$B:$B,0)),IFERROR(INDEX('Mr Manu Vikraman'!G:G,MATCH($B122,'Mr Manu Vikraman'!$B:$B,0)),""))</f>
        <v/>
      </c>
      <c r="H122" s="128" t="str">
        <f t="array" ref="H122">IFERROR(INDEX('Mr Sandeep Kumar'!H:H,MATCH($B122,'Mr Sandeep Kumar'!$B:$B,0)),IFERROR(INDEX('Mr Manu Vikraman'!H:H,MATCH($B122,'Mr Manu Vikraman'!$B:$B,0)),""))</f>
        <v/>
      </c>
      <c r="I122" s="128" t="str">
        <f t="array" ref="I122">IFERROR(INDEX('Mr Sandeep Kumar'!I:I,MATCH($B122,'Mr Sandeep Kumar'!$B:$B,0)),IFERROR(INDEX('Mr Manu Vikraman'!I:I,MATCH($B122,'Mr Manu Vikraman'!$B:$B,0)),""))</f>
        <v/>
      </c>
      <c r="J122" s="128" t="str">
        <f t="array" ref="J122">IFERROR(INDEX('Mr Sandeep Kumar'!J:J,MATCH($B122,'Mr Sandeep Kumar'!$B:$B,0)),IFERROR(INDEX('Mr Manu Vikraman'!J:J,MATCH($B122,'Mr Manu Vikraman'!$B:$B,0)),""))</f>
        <v/>
      </c>
      <c r="K122" s="128" t="str">
        <f t="array" ref="K122">IFERROR(INDEX('Mr Sandeep Kumar'!K:K,MATCH($B122,'Mr Sandeep Kumar'!$B:$B,0)),IFERROR(INDEX('Mr Manu Vikraman'!K:K,MATCH($B122,'Mr Manu Vikraman'!$B:$B,0)),""))</f>
        <v/>
      </c>
      <c r="L122" s="128" t="str">
        <f t="array" ref="L122">IFERROR(INDEX('Mr Sandeep Kumar'!L:L,MATCH($B122,'Mr Sandeep Kumar'!$B:$B,0)),IFERROR(INDEX('Mr Manu Vikraman'!L:L,MATCH($B122,'Mr Manu Vikraman'!$B:$B,0)),""))</f>
        <v/>
      </c>
      <c r="M122" s="128" t="str">
        <f t="array" ref="M122">IFERROR(INDEX('Mr Sandeep Kumar'!M:M,MATCH($B122,'Mr Sandeep Kumar'!$B:$B,0)),IFERROR(INDEX('Mr Manu Vikraman'!M:M,MATCH($B122,'Mr Manu Vikraman'!$B:$B,0)),""))</f>
        <v/>
      </c>
      <c r="N122" s="128" t="str">
        <f t="array" ref="N122">IFERROR(INDEX('Mr Sandeep Kumar'!N:N,MATCH($B122,'Mr Sandeep Kumar'!$B:$B,0)),IFERROR(INDEX('Mr Manu Vikraman'!N:N,MATCH($B122,'Mr Manu Vikraman'!$B:$B,0)),""))</f>
        <v/>
      </c>
      <c r="O122" s="128" t="str">
        <f t="array" ref="O122">IFERROR(INDEX('Mr Sandeep Kumar'!O:O,MATCH($B122,'Mr Sandeep Kumar'!$B:$B,0)),IFERROR(INDEX('Mr Manu Vikraman'!O:O,MATCH($B122,'Mr Manu Vikraman'!$B:$B,0)),""))</f>
        <v/>
      </c>
      <c r="P122" s="128" t="str">
        <f t="array" ref="P122">IFERROR(INDEX('Mr Sandeep Kumar'!P:P,MATCH($B122,'Mr Sandeep Kumar'!$B:$B,0)),IFERROR(INDEX('Mr Manu Vikraman'!P:P,MATCH($B122,'Mr Manu Vikraman'!$B:$B,0)),""))</f>
        <v/>
      </c>
      <c r="Q122" s="129">
        <f t="shared" si="1"/>
        <v>0</v>
      </c>
      <c r="R122" s="130">
        <f t="shared" si="2"/>
        <v>0</v>
      </c>
      <c r="S122" s="131" t="str">
        <f t="shared" si="3"/>
        <v>D</v>
      </c>
      <c r="T122" s="131" t="str">
        <f t="shared" si="4"/>
        <v>Not Started</v>
      </c>
      <c r="U122" s="132"/>
    </row>
    <row r="123" ht="21.75" customHeight="1">
      <c r="A123" s="125">
        <v>117.0</v>
      </c>
      <c r="B123" s="135" t="s">
        <v>534</v>
      </c>
      <c r="C123" s="134" t="s">
        <v>535</v>
      </c>
      <c r="D123" s="134" t="s">
        <v>536</v>
      </c>
      <c r="E123" s="126"/>
      <c r="F123" s="127"/>
      <c r="G123" s="128" t="str">
        <f t="array" ref="G123">IFERROR(INDEX('Mr Sandeep Kumar'!G:G,MATCH($B123,'Mr Sandeep Kumar'!$B:$B,0)),IFERROR(INDEX('Mr Manu Vikraman'!G:G,MATCH($B123,'Mr Manu Vikraman'!$B:$B,0)),""))</f>
        <v/>
      </c>
      <c r="H123" s="128" t="str">
        <f t="array" ref="H123">IFERROR(INDEX('Mr Sandeep Kumar'!H:H,MATCH($B123,'Mr Sandeep Kumar'!$B:$B,0)),IFERROR(INDEX('Mr Manu Vikraman'!H:H,MATCH($B123,'Mr Manu Vikraman'!$B:$B,0)),""))</f>
        <v/>
      </c>
      <c r="I123" s="128" t="str">
        <f t="array" ref="I123">IFERROR(INDEX('Mr Sandeep Kumar'!I:I,MATCH($B123,'Mr Sandeep Kumar'!$B:$B,0)),IFERROR(INDEX('Mr Manu Vikraman'!I:I,MATCH($B123,'Mr Manu Vikraman'!$B:$B,0)),""))</f>
        <v/>
      </c>
      <c r="J123" s="128" t="str">
        <f t="array" ref="J123">IFERROR(INDEX('Mr Sandeep Kumar'!J:J,MATCH($B123,'Mr Sandeep Kumar'!$B:$B,0)),IFERROR(INDEX('Mr Manu Vikraman'!J:J,MATCH($B123,'Mr Manu Vikraman'!$B:$B,0)),""))</f>
        <v/>
      </c>
      <c r="K123" s="128" t="str">
        <f t="array" ref="K123">IFERROR(INDEX('Mr Sandeep Kumar'!K:K,MATCH($B123,'Mr Sandeep Kumar'!$B:$B,0)),IFERROR(INDEX('Mr Manu Vikraman'!K:K,MATCH($B123,'Mr Manu Vikraman'!$B:$B,0)),""))</f>
        <v/>
      </c>
      <c r="L123" s="128" t="str">
        <f t="array" ref="L123">IFERROR(INDEX('Mr Sandeep Kumar'!L:L,MATCH($B123,'Mr Sandeep Kumar'!$B:$B,0)),IFERROR(INDEX('Mr Manu Vikraman'!L:L,MATCH($B123,'Mr Manu Vikraman'!$B:$B,0)),""))</f>
        <v/>
      </c>
      <c r="M123" s="128" t="str">
        <f t="array" ref="M123">IFERROR(INDEX('Mr Sandeep Kumar'!M:M,MATCH($B123,'Mr Sandeep Kumar'!$B:$B,0)),IFERROR(INDEX('Mr Manu Vikraman'!M:M,MATCH($B123,'Mr Manu Vikraman'!$B:$B,0)),""))</f>
        <v/>
      </c>
      <c r="N123" s="128" t="str">
        <f t="array" ref="N123">IFERROR(INDEX('Mr Sandeep Kumar'!N:N,MATCH($B123,'Mr Sandeep Kumar'!$B:$B,0)),IFERROR(INDEX('Mr Manu Vikraman'!N:N,MATCH($B123,'Mr Manu Vikraman'!$B:$B,0)),""))</f>
        <v/>
      </c>
      <c r="O123" s="128" t="str">
        <f t="array" ref="O123">IFERROR(INDEX('Mr Sandeep Kumar'!O:O,MATCH($B123,'Mr Sandeep Kumar'!$B:$B,0)),IFERROR(INDEX('Mr Manu Vikraman'!O:O,MATCH($B123,'Mr Manu Vikraman'!$B:$B,0)),""))</f>
        <v/>
      </c>
      <c r="P123" s="128" t="str">
        <f t="array" ref="P123">IFERROR(INDEX('Mr Sandeep Kumar'!P:P,MATCH($B123,'Mr Sandeep Kumar'!$B:$B,0)),IFERROR(INDEX('Mr Manu Vikraman'!P:P,MATCH($B123,'Mr Manu Vikraman'!$B:$B,0)),""))</f>
        <v/>
      </c>
      <c r="Q123" s="129">
        <f t="shared" si="1"/>
        <v>0</v>
      </c>
      <c r="R123" s="130">
        <f t="shared" si="2"/>
        <v>0</v>
      </c>
      <c r="S123" s="131" t="str">
        <f t="shared" si="3"/>
        <v>D</v>
      </c>
      <c r="T123" s="131" t="str">
        <f t="shared" si="4"/>
        <v>Not Started</v>
      </c>
      <c r="U123" s="132"/>
    </row>
    <row r="124" ht="21.75" customHeight="1">
      <c r="A124" s="125">
        <v>118.0</v>
      </c>
      <c r="B124" s="135" t="s">
        <v>537</v>
      </c>
      <c r="C124" s="134" t="s">
        <v>538</v>
      </c>
      <c r="D124" s="134" t="s">
        <v>539</v>
      </c>
      <c r="E124" s="126"/>
      <c r="F124" s="127"/>
      <c r="G124" s="128" t="str">
        <f t="array" ref="G124">IFERROR(INDEX('Mr Sandeep Kumar'!G:G,MATCH($B124,'Mr Sandeep Kumar'!$B:$B,0)),IFERROR(INDEX('Mr Manu Vikraman'!G:G,MATCH($B124,'Mr Manu Vikraman'!$B:$B,0)),""))</f>
        <v/>
      </c>
      <c r="H124" s="128" t="str">
        <f t="array" ref="H124">IFERROR(INDEX('Mr Sandeep Kumar'!H:H,MATCH($B124,'Mr Sandeep Kumar'!$B:$B,0)),IFERROR(INDEX('Mr Manu Vikraman'!H:H,MATCH($B124,'Mr Manu Vikraman'!$B:$B,0)),""))</f>
        <v/>
      </c>
      <c r="I124" s="128" t="str">
        <f t="array" ref="I124">IFERROR(INDEX('Mr Sandeep Kumar'!I:I,MATCH($B124,'Mr Sandeep Kumar'!$B:$B,0)),IFERROR(INDEX('Mr Manu Vikraman'!I:I,MATCH($B124,'Mr Manu Vikraman'!$B:$B,0)),""))</f>
        <v/>
      </c>
      <c r="J124" s="128" t="str">
        <f t="array" ref="J124">IFERROR(INDEX('Mr Sandeep Kumar'!J:J,MATCH($B124,'Mr Sandeep Kumar'!$B:$B,0)),IFERROR(INDEX('Mr Manu Vikraman'!J:J,MATCH($B124,'Mr Manu Vikraman'!$B:$B,0)),""))</f>
        <v/>
      </c>
      <c r="K124" s="128" t="str">
        <f t="array" ref="K124">IFERROR(INDEX('Mr Sandeep Kumar'!K:K,MATCH($B124,'Mr Sandeep Kumar'!$B:$B,0)),IFERROR(INDEX('Mr Manu Vikraman'!K:K,MATCH($B124,'Mr Manu Vikraman'!$B:$B,0)),""))</f>
        <v/>
      </c>
      <c r="L124" s="128" t="str">
        <f t="array" ref="L124">IFERROR(INDEX('Mr Sandeep Kumar'!L:L,MATCH($B124,'Mr Sandeep Kumar'!$B:$B,0)),IFERROR(INDEX('Mr Manu Vikraman'!L:L,MATCH($B124,'Mr Manu Vikraman'!$B:$B,0)),""))</f>
        <v/>
      </c>
      <c r="M124" s="128" t="str">
        <f t="array" ref="M124">IFERROR(INDEX('Mr Sandeep Kumar'!M:M,MATCH($B124,'Mr Sandeep Kumar'!$B:$B,0)),IFERROR(INDEX('Mr Manu Vikraman'!M:M,MATCH($B124,'Mr Manu Vikraman'!$B:$B,0)),""))</f>
        <v/>
      </c>
      <c r="N124" s="128" t="str">
        <f t="array" ref="N124">IFERROR(INDEX('Mr Sandeep Kumar'!N:N,MATCH($B124,'Mr Sandeep Kumar'!$B:$B,0)),IFERROR(INDEX('Mr Manu Vikraman'!N:N,MATCH($B124,'Mr Manu Vikraman'!$B:$B,0)),""))</f>
        <v/>
      </c>
      <c r="O124" s="128" t="str">
        <f t="array" ref="O124">IFERROR(INDEX('Mr Sandeep Kumar'!O:O,MATCH($B124,'Mr Sandeep Kumar'!$B:$B,0)),IFERROR(INDEX('Mr Manu Vikraman'!O:O,MATCH($B124,'Mr Manu Vikraman'!$B:$B,0)),""))</f>
        <v/>
      </c>
      <c r="P124" s="128" t="str">
        <f t="array" ref="P124">IFERROR(INDEX('Mr Sandeep Kumar'!P:P,MATCH($B124,'Mr Sandeep Kumar'!$B:$B,0)),IFERROR(INDEX('Mr Manu Vikraman'!P:P,MATCH($B124,'Mr Manu Vikraman'!$B:$B,0)),""))</f>
        <v/>
      </c>
      <c r="Q124" s="129">
        <f t="shared" si="1"/>
        <v>0</v>
      </c>
      <c r="R124" s="130">
        <f t="shared" si="2"/>
        <v>0</v>
      </c>
      <c r="S124" s="131" t="str">
        <f t="shared" si="3"/>
        <v>D</v>
      </c>
      <c r="T124" s="131" t="str">
        <f t="shared" si="4"/>
        <v>Not Started</v>
      </c>
      <c r="U124" s="132"/>
    </row>
    <row r="125" ht="21.75" customHeight="1">
      <c r="A125" s="125">
        <v>119.0</v>
      </c>
      <c r="B125" s="135" t="s">
        <v>540</v>
      </c>
      <c r="C125" s="134" t="s">
        <v>541</v>
      </c>
      <c r="D125" s="134" t="s">
        <v>542</v>
      </c>
      <c r="E125" s="126"/>
      <c r="F125" s="127"/>
      <c r="G125" s="128" t="str">
        <f t="array" ref="G125">IFERROR(INDEX('Mr Sandeep Kumar'!G:G,MATCH($B125,'Mr Sandeep Kumar'!$B:$B,0)),IFERROR(INDEX('Mr Manu Vikraman'!G:G,MATCH($B125,'Mr Manu Vikraman'!$B:$B,0)),""))</f>
        <v/>
      </c>
      <c r="H125" s="128" t="str">
        <f t="array" ref="H125">IFERROR(INDEX('Mr Sandeep Kumar'!H:H,MATCH($B125,'Mr Sandeep Kumar'!$B:$B,0)),IFERROR(INDEX('Mr Manu Vikraman'!H:H,MATCH($B125,'Mr Manu Vikraman'!$B:$B,0)),""))</f>
        <v/>
      </c>
      <c r="I125" s="128" t="str">
        <f t="array" ref="I125">IFERROR(INDEX('Mr Sandeep Kumar'!I:I,MATCH($B125,'Mr Sandeep Kumar'!$B:$B,0)),IFERROR(INDEX('Mr Manu Vikraman'!I:I,MATCH($B125,'Mr Manu Vikraman'!$B:$B,0)),""))</f>
        <v/>
      </c>
      <c r="J125" s="128" t="str">
        <f t="array" ref="J125">IFERROR(INDEX('Mr Sandeep Kumar'!J:J,MATCH($B125,'Mr Sandeep Kumar'!$B:$B,0)),IFERROR(INDEX('Mr Manu Vikraman'!J:J,MATCH($B125,'Mr Manu Vikraman'!$B:$B,0)),""))</f>
        <v/>
      </c>
      <c r="K125" s="128" t="str">
        <f t="array" ref="K125">IFERROR(INDEX('Mr Sandeep Kumar'!K:K,MATCH($B125,'Mr Sandeep Kumar'!$B:$B,0)),IFERROR(INDEX('Mr Manu Vikraman'!K:K,MATCH($B125,'Mr Manu Vikraman'!$B:$B,0)),""))</f>
        <v/>
      </c>
      <c r="L125" s="128" t="str">
        <f t="array" ref="L125">IFERROR(INDEX('Mr Sandeep Kumar'!L:L,MATCH($B125,'Mr Sandeep Kumar'!$B:$B,0)),IFERROR(INDEX('Mr Manu Vikraman'!L:L,MATCH($B125,'Mr Manu Vikraman'!$B:$B,0)),""))</f>
        <v/>
      </c>
      <c r="M125" s="128" t="str">
        <f t="array" ref="M125">IFERROR(INDEX('Mr Sandeep Kumar'!M:M,MATCH($B125,'Mr Sandeep Kumar'!$B:$B,0)),IFERROR(INDEX('Mr Manu Vikraman'!M:M,MATCH($B125,'Mr Manu Vikraman'!$B:$B,0)),""))</f>
        <v/>
      </c>
      <c r="N125" s="128" t="str">
        <f t="array" ref="N125">IFERROR(INDEX('Mr Sandeep Kumar'!N:N,MATCH($B125,'Mr Sandeep Kumar'!$B:$B,0)),IFERROR(INDEX('Mr Manu Vikraman'!N:N,MATCH($B125,'Mr Manu Vikraman'!$B:$B,0)),""))</f>
        <v/>
      </c>
      <c r="O125" s="128" t="str">
        <f t="array" ref="O125">IFERROR(INDEX('Mr Sandeep Kumar'!O:O,MATCH($B125,'Mr Sandeep Kumar'!$B:$B,0)),IFERROR(INDEX('Mr Manu Vikraman'!O:O,MATCH($B125,'Mr Manu Vikraman'!$B:$B,0)),""))</f>
        <v/>
      </c>
      <c r="P125" s="128" t="str">
        <f t="array" ref="P125">IFERROR(INDEX('Mr Sandeep Kumar'!P:P,MATCH($B125,'Mr Sandeep Kumar'!$B:$B,0)),IFERROR(INDEX('Mr Manu Vikraman'!P:P,MATCH($B125,'Mr Manu Vikraman'!$B:$B,0)),""))</f>
        <v/>
      </c>
      <c r="Q125" s="129">
        <f t="shared" si="1"/>
        <v>0</v>
      </c>
      <c r="R125" s="130">
        <f t="shared" si="2"/>
        <v>0</v>
      </c>
      <c r="S125" s="131" t="str">
        <f t="shared" si="3"/>
        <v>D</v>
      </c>
      <c r="T125" s="131" t="str">
        <f t="shared" si="4"/>
        <v>Not Started</v>
      </c>
      <c r="U125" s="132"/>
    </row>
    <row r="126" ht="21.75" customHeight="1">
      <c r="A126" s="125">
        <v>120.0</v>
      </c>
      <c r="B126" s="135" t="s">
        <v>543</v>
      </c>
      <c r="C126" s="134" t="s">
        <v>544</v>
      </c>
      <c r="D126" s="134" t="s">
        <v>545</v>
      </c>
      <c r="E126" s="126"/>
      <c r="F126" s="127"/>
      <c r="G126" s="128" t="str">
        <f t="array" ref="G126">IFERROR(INDEX('Mr Sandeep Kumar'!G:G,MATCH($B126,'Mr Sandeep Kumar'!$B:$B,0)),IFERROR(INDEX('Mr Manu Vikraman'!G:G,MATCH($B126,'Mr Manu Vikraman'!$B:$B,0)),""))</f>
        <v/>
      </c>
      <c r="H126" s="128" t="str">
        <f t="array" ref="H126">IFERROR(INDEX('Mr Sandeep Kumar'!H:H,MATCH($B126,'Mr Sandeep Kumar'!$B:$B,0)),IFERROR(INDEX('Mr Manu Vikraman'!H:H,MATCH($B126,'Mr Manu Vikraman'!$B:$B,0)),""))</f>
        <v/>
      </c>
      <c r="I126" s="128" t="str">
        <f t="array" ref="I126">IFERROR(INDEX('Mr Sandeep Kumar'!I:I,MATCH($B126,'Mr Sandeep Kumar'!$B:$B,0)),IFERROR(INDEX('Mr Manu Vikraman'!I:I,MATCH($B126,'Mr Manu Vikraman'!$B:$B,0)),""))</f>
        <v/>
      </c>
      <c r="J126" s="128" t="str">
        <f t="array" ref="J126">IFERROR(INDEX('Mr Sandeep Kumar'!J:J,MATCH($B126,'Mr Sandeep Kumar'!$B:$B,0)),IFERROR(INDEX('Mr Manu Vikraman'!J:J,MATCH($B126,'Mr Manu Vikraman'!$B:$B,0)),""))</f>
        <v/>
      </c>
      <c r="K126" s="128" t="str">
        <f t="array" ref="K126">IFERROR(INDEX('Mr Sandeep Kumar'!K:K,MATCH($B126,'Mr Sandeep Kumar'!$B:$B,0)),IFERROR(INDEX('Mr Manu Vikraman'!K:K,MATCH($B126,'Mr Manu Vikraman'!$B:$B,0)),""))</f>
        <v/>
      </c>
      <c r="L126" s="128" t="str">
        <f t="array" ref="L126">IFERROR(INDEX('Mr Sandeep Kumar'!L:L,MATCH($B126,'Mr Sandeep Kumar'!$B:$B,0)),IFERROR(INDEX('Mr Manu Vikraman'!L:L,MATCH($B126,'Mr Manu Vikraman'!$B:$B,0)),""))</f>
        <v/>
      </c>
      <c r="M126" s="128" t="str">
        <f t="array" ref="M126">IFERROR(INDEX('Mr Sandeep Kumar'!M:M,MATCH($B126,'Mr Sandeep Kumar'!$B:$B,0)),IFERROR(INDEX('Mr Manu Vikraman'!M:M,MATCH($B126,'Mr Manu Vikraman'!$B:$B,0)),""))</f>
        <v/>
      </c>
      <c r="N126" s="128" t="str">
        <f t="array" ref="N126">IFERROR(INDEX('Mr Sandeep Kumar'!N:N,MATCH($B126,'Mr Sandeep Kumar'!$B:$B,0)),IFERROR(INDEX('Mr Manu Vikraman'!N:N,MATCH($B126,'Mr Manu Vikraman'!$B:$B,0)),""))</f>
        <v/>
      </c>
      <c r="O126" s="128" t="str">
        <f t="array" ref="O126">IFERROR(INDEX('Mr Sandeep Kumar'!O:O,MATCH($B126,'Mr Sandeep Kumar'!$B:$B,0)),IFERROR(INDEX('Mr Manu Vikraman'!O:O,MATCH($B126,'Mr Manu Vikraman'!$B:$B,0)),""))</f>
        <v/>
      </c>
      <c r="P126" s="128" t="str">
        <f t="array" ref="P126">IFERROR(INDEX('Mr Sandeep Kumar'!P:P,MATCH($B126,'Mr Sandeep Kumar'!$B:$B,0)),IFERROR(INDEX('Mr Manu Vikraman'!P:P,MATCH($B126,'Mr Manu Vikraman'!$B:$B,0)),""))</f>
        <v/>
      </c>
      <c r="Q126" s="129">
        <f t="shared" si="1"/>
        <v>0</v>
      </c>
      <c r="R126" s="130">
        <f t="shared" si="2"/>
        <v>0</v>
      </c>
      <c r="S126" s="131" t="str">
        <f t="shared" si="3"/>
        <v>D</v>
      </c>
      <c r="T126" s="131" t="str">
        <f t="shared" si="4"/>
        <v>Not Started</v>
      </c>
      <c r="U126" s="132"/>
    </row>
    <row r="127" ht="21.75" customHeight="1">
      <c r="A127" s="125">
        <v>121.0</v>
      </c>
      <c r="B127" s="135" t="s">
        <v>546</v>
      </c>
      <c r="C127" s="134" t="s">
        <v>547</v>
      </c>
      <c r="D127" s="134" t="s">
        <v>548</v>
      </c>
      <c r="E127" s="126"/>
      <c r="F127" s="127"/>
      <c r="G127" s="128" t="str">
        <f t="array" ref="G127">IFERROR(INDEX('Mr Sandeep Kumar'!G:G,MATCH($B127,'Mr Sandeep Kumar'!$B:$B,0)),IFERROR(INDEX('Mr Manu Vikraman'!G:G,MATCH($B127,'Mr Manu Vikraman'!$B:$B,0)),""))</f>
        <v/>
      </c>
      <c r="H127" s="128" t="str">
        <f t="array" ref="H127">IFERROR(INDEX('Mr Sandeep Kumar'!H:H,MATCH($B127,'Mr Sandeep Kumar'!$B:$B,0)),IFERROR(INDEX('Mr Manu Vikraman'!H:H,MATCH($B127,'Mr Manu Vikraman'!$B:$B,0)),""))</f>
        <v/>
      </c>
      <c r="I127" s="128" t="str">
        <f t="array" ref="I127">IFERROR(INDEX('Mr Sandeep Kumar'!I:I,MATCH($B127,'Mr Sandeep Kumar'!$B:$B,0)),IFERROR(INDEX('Mr Manu Vikraman'!I:I,MATCH($B127,'Mr Manu Vikraman'!$B:$B,0)),""))</f>
        <v/>
      </c>
      <c r="J127" s="128" t="str">
        <f t="array" ref="J127">IFERROR(INDEX('Mr Sandeep Kumar'!J:J,MATCH($B127,'Mr Sandeep Kumar'!$B:$B,0)),IFERROR(INDEX('Mr Manu Vikraman'!J:J,MATCH($B127,'Mr Manu Vikraman'!$B:$B,0)),""))</f>
        <v/>
      </c>
      <c r="K127" s="128" t="str">
        <f t="array" ref="K127">IFERROR(INDEX('Mr Sandeep Kumar'!K:K,MATCH($B127,'Mr Sandeep Kumar'!$B:$B,0)),IFERROR(INDEX('Mr Manu Vikraman'!K:K,MATCH($B127,'Mr Manu Vikraman'!$B:$B,0)),""))</f>
        <v/>
      </c>
      <c r="L127" s="128" t="str">
        <f t="array" ref="L127">IFERROR(INDEX('Mr Sandeep Kumar'!L:L,MATCH($B127,'Mr Sandeep Kumar'!$B:$B,0)),IFERROR(INDEX('Mr Manu Vikraman'!L:L,MATCH($B127,'Mr Manu Vikraman'!$B:$B,0)),""))</f>
        <v/>
      </c>
      <c r="M127" s="128" t="str">
        <f t="array" ref="M127">IFERROR(INDEX('Mr Sandeep Kumar'!M:M,MATCH($B127,'Mr Sandeep Kumar'!$B:$B,0)),IFERROR(INDEX('Mr Manu Vikraman'!M:M,MATCH($B127,'Mr Manu Vikraman'!$B:$B,0)),""))</f>
        <v/>
      </c>
      <c r="N127" s="128" t="str">
        <f t="array" ref="N127">IFERROR(INDEX('Mr Sandeep Kumar'!N:N,MATCH($B127,'Mr Sandeep Kumar'!$B:$B,0)),IFERROR(INDEX('Mr Manu Vikraman'!N:N,MATCH($B127,'Mr Manu Vikraman'!$B:$B,0)),""))</f>
        <v/>
      </c>
      <c r="O127" s="128" t="str">
        <f t="array" ref="O127">IFERROR(INDEX('Mr Sandeep Kumar'!O:O,MATCH($B127,'Mr Sandeep Kumar'!$B:$B,0)),IFERROR(INDEX('Mr Manu Vikraman'!O:O,MATCH($B127,'Mr Manu Vikraman'!$B:$B,0)),""))</f>
        <v/>
      </c>
      <c r="P127" s="128" t="str">
        <f t="array" ref="P127">IFERROR(INDEX('Mr Sandeep Kumar'!P:P,MATCH($B127,'Mr Sandeep Kumar'!$B:$B,0)),IFERROR(INDEX('Mr Manu Vikraman'!P:P,MATCH($B127,'Mr Manu Vikraman'!$B:$B,0)),""))</f>
        <v/>
      </c>
      <c r="Q127" s="129">
        <f t="shared" si="1"/>
        <v>0</v>
      </c>
      <c r="R127" s="130">
        <f t="shared" si="2"/>
        <v>0</v>
      </c>
      <c r="S127" s="131" t="str">
        <f t="shared" si="3"/>
        <v>D</v>
      </c>
      <c r="T127" s="131" t="str">
        <f t="shared" si="4"/>
        <v>Not Started</v>
      </c>
      <c r="U127" s="132"/>
    </row>
    <row r="128" ht="21.75" customHeight="1">
      <c r="A128" s="125">
        <v>122.0</v>
      </c>
      <c r="B128" s="135" t="s">
        <v>549</v>
      </c>
      <c r="C128" s="134" t="s">
        <v>550</v>
      </c>
      <c r="D128" s="134" t="s">
        <v>551</v>
      </c>
      <c r="E128" s="126"/>
      <c r="F128" s="127"/>
      <c r="G128" s="128" t="str">
        <f t="array" ref="G128">IFERROR(INDEX('Mr Sandeep Kumar'!G:G,MATCH($B128,'Mr Sandeep Kumar'!$B:$B,0)),IFERROR(INDEX('Mr Manu Vikraman'!G:G,MATCH($B128,'Mr Manu Vikraman'!$B:$B,0)),""))</f>
        <v/>
      </c>
      <c r="H128" s="128" t="str">
        <f t="array" ref="H128">IFERROR(INDEX('Mr Sandeep Kumar'!H:H,MATCH($B128,'Mr Sandeep Kumar'!$B:$B,0)),IFERROR(INDEX('Mr Manu Vikraman'!H:H,MATCH($B128,'Mr Manu Vikraman'!$B:$B,0)),""))</f>
        <v/>
      </c>
      <c r="I128" s="128" t="str">
        <f t="array" ref="I128">IFERROR(INDEX('Mr Sandeep Kumar'!I:I,MATCH($B128,'Mr Sandeep Kumar'!$B:$B,0)),IFERROR(INDEX('Mr Manu Vikraman'!I:I,MATCH($B128,'Mr Manu Vikraman'!$B:$B,0)),""))</f>
        <v/>
      </c>
      <c r="J128" s="128" t="str">
        <f t="array" ref="J128">IFERROR(INDEX('Mr Sandeep Kumar'!J:J,MATCH($B128,'Mr Sandeep Kumar'!$B:$B,0)),IFERROR(INDEX('Mr Manu Vikraman'!J:J,MATCH($B128,'Mr Manu Vikraman'!$B:$B,0)),""))</f>
        <v/>
      </c>
      <c r="K128" s="128" t="str">
        <f t="array" ref="K128">IFERROR(INDEX('Mr Sandeep Kumar'!K:K,MATCH($B128,'Mr Sandeep Kumar'!$B:$B,0)),IFERROR(INDEX('Mr Manu Vikraman'!K:K,MATCH($B128,'Mr Manu Vikraman'!$B:$B,0)),""))</f>
        <v/>
      </c>
      <c r="L128" s="128" t="str">
        <f t="array" ref="L128">IFERROR(INDEX('Mr Sandeep Kumar'!L:L,MATCH($B128,'Mr Sandeep Kumar'!$B:$B,0)),IFERROR(INDEX('Mr Manu Vikraman'!L:L,MATCH($B128,'Mr Manu Vikraman'!$B:$B,0)),""))</f>
        <v/>
      </c>
      <c r="M128" s="128" t="str">
        <f t="array" ref="M128">IFERROR(INDEX('Mr Sandeep Kumar'!M:M,MATCH($B128,'Mr Sandeep Kumar'!$B:$B,0)),IFERROR(INDEX('Mr Manu Vikraman'!M:M,MATCH($B128,'Mr Manu Vikraman'!$B:$B,0)),""))</f>
        <v/>
      </c>
      <c r="N128" s="128" t="str">
        <f t="array" ref="N128">IFERROR(INDEX('Mr Sandeep Kumar'!N:N,MATCH($B128,'Mr Sandeep Kumar'!$B:$B,0)),IFERROR(INDEX('Mr Manu Vikraman'!N:N,MATCH($B128,'Mr Manu Vikraman'!$B:$B,0)),""))</f>
        <v/>
      </c>
      <c r="O128" s="128" t="str">
        <f t="array" ref="O128">IFERROR(INDEX('Mr Sandeep Kumar'!O:O,MATCH($B128,'Mr Sandeep Kumar'!$B:$B,0)),IFERROR(INDEX('Mr Manu Vikraman'!O:O,MATCH($B128,'Mr Manu Vikraman'!$B:$B,0)),""))</f>
        <v/>
      </c>
      <c r="P128" s="128" t="str">
        <f t="array" ref="P128">IFERROR(INDEX('Mr Sandeep Kumar'!P:P,MATCH($B128,'Mr Sandeep Kumar'!$B:$B,0)),IFERROR(INDEX('Mr Manu Vikraman'!P:P,MATCH($B128,'Mr Manu Vikraman'!$B:$B,0)),""))</f>
        <v/>
      </c>
      <c r="Q128" s="129">
        <f t="shared" si="1"/>
        <v>0</v>
      </c>
      <c r="R128" s="130">
        <f t="shared" si="2"/>
        <v>0</v>
      </c>
      <c r="S128" s="131" t="str">
        <f t="shared" si="3"/>
        <v>D</v>
      </c>
      <c r="T128" s="131" t="str">
        <f t="shared" si="4"/>
        <v>Not Started</v>
      </c>
      <c r="U128" s="132"/>
    </row>
    <row r="129" ht="21.75" customHeight="1">
      <c r="A129" s="125">
        <v>123.0</v>
      </c>
      <c r="B129" s="135" t="s">
        <v>552</v>
      </c>
      <c r="C129" s="134" t="s">
        <v>553</v>
      </c>
      <c r="D129" s="134" t="s">
        <v>554</v>
      </c>
      <c r="E129" s="126"/>
      <c r="F129" s="127"/>
      <c r="G129" s="128" t="str">
        <f t="array" ref="G129">IFERROR(INDEX('Mr Sandeep Kumar'!G:G,MATCH($B129,'Mr Sandeep Kumar'!$B:$B,0)),IFERROR(INDEX('Mr Manu Vikraman'!G:G,MATCH($B129,'Mr Manu Vikraman'!$B:$B,0)),""))</f>
        <v/>
      </c>
      <c r="H129" s="128" t="str">
        <f t="array" ref="H129">IFERROR(INDEX('Mr Sandeep Kumar'!H:H,MATCH($B129,'Mr Sandeep Kumar'!$B:$B,0)),IFERROR(INDEX('Mr Manu Vikraman'!H:H,MATCH($B129,'Mr Manu Vikraman'!$B:$B,0)),""))</f>
        <v/>
      </c>
      <c r="I129" s="128" t="str">
        <f t="array" ref="I129">IFERROR(INDEX('Mr Sandeep Kumar'!I:I,MATCH($B129,'Mr Sandeep Kumar'!$B:$B,0)),IFERROR(INDEX('Mr Manu Vikraman'!I:I,MATCH($B129,'Mr Manu Vikraman'!$B:$B,0)),""))</f>
        <v/>
      </c>
      <c r="J129" s="128" t="str">
        <f t="array" ref="J129">IFERROR(INDEX('Mr Sandeep Kumar'!J:J,MATCH($B129,'Mr Sandeep Kumar'!$B:$B,0)),IFERROR(INDEX('Mr Manu Vikraman'!J:J,MATCH($B129,'Mr Manu Vikraman'!$B:$B,0)),""))</f>
        <v/>
      </c>
      <c r="K129" s="128" t="str">
        <f t="array" ref="K129">IFERROR(INDEX('Mr Sandeep Kumar'!K:K,MATCH($B129,'Mr Sandeep Kumar'!$B:$B,0)),IFERROR(INDEX('Mr Manu Vikraman'!K:K,MATCH($B129,'Mr Manu Vikraman'!$B:$B,0)),""))</f>
        <v/>
      </c>
      <c r="L129" s="128" t="str">
        <f t="array" ref="L129">IFERROR(INDEX('Mr Sandeep Kumar'!L:L,MATCH($B129,'Mr Sandeep Kumar'!$B:$B,0)),IFERROR(INDEX('Mr Manu Vikraman'!L:L,MATCH($B129,'Mr Manu Vikraman'!$B:$B,0)),""))</f>
        <v/>
      </c>
      <c r="M129" s="128" t="str">
        <f t="array" ref="M129">IFERROR(INDEX('Mr Sandeep Kumar'!M:M,MATCH($B129,'Mr Sandeep Kumar'!$B:$B,0)),IFERROR(INDEX('Mr Manu Vikraman'!M:M,MATCH($B129,'Mr Manu Vikraman'!$B:$B,0)),""))</f>
        <v/>
      </c>
      <c r="N129" s="128" t="str">
        <f t="array" ref="N129">IFERROR(INDEX('Mr Sandeep Kumar'!N:N,MATCH($B129,'Mr Sandeep Kumar'!$B:$B,0)),IFERROR(INDEX('Mr Manu Vikraman'!N:N,MATCH($B129,'Mr Manu Vikraman'!$B:$B,0)),""))</f>
        <v/>
      </c>
      <c r="O129" s="128" t="str">
        <f t="array" ref="O129">IFERROR(INDEX('Mr Sandeep Kumar'!O:O,MATCH($B129,'Mr Sandeep Kumar'!$B:$B,0)),IFERROR(INDEX('Mr Manu Vikraman'!O:O,MATCH($B129,'Mr Manu Vikraman'!$B:$B,0)),""))</f>
        <v/>
      </c>
      <c r="P129" s="128" t="str">
        <f t="array" ref="P129">IFERROR(INDEX('Mr Sandeep Kumar'!P:P,MATCH($B129,'Mr Sandeep Kumar'!$B:$B,0)),IFERROR(INDEX('Mr Manu Vikraman'!P:P,MATCH($B129,'Mr Manu Vikraman'!$B:$B,0)),""))</f>
        <v/>
      </c>
      <c r="Q129" s="129">
        <f t="shared" si="1"/>
        <v>0</v>
      </c>
      <c r="R129" s="130">
        <f t="shared" si="2"/>
        <v>0</v>
      </c>
      <c r="S129" s="131" t="str">
        <f t="shared" si="3"/>
        <v>D</v>
      </c>
      <c r="T129" s="131" t="str">
        <f t="shared" si="4"/>
        <v>Not Started</v>
      </c>
      <c r="U129" s="132"/>
    </row>
    <row r="130" ht="21.75" customHeight="1">
      <c r="A130" s="125">
        <v>124.0</v>
      </c>
      <c r="B130" s="135" t="s">
        <v>555</v>
      </c>
      <c r="C130" s="134" t="s">
        <v>556</v>
      </c>
      <c r="D130" s="134" t="s">
        <v>557</v>
      </c>
      <c r="E130" s="126"/>
      <c r="F130" s="127"/>
      <c r="G130" s="128" t="str">
        <f t="array" ref="G130">IFERROR(INDEX('Mr Sandeep Kumar'!G:G,MATCH($B130,'Mr Sandeep Kumar'!$B:$B,0)),IFERROR(INDEX('Mr Manu Vikraman'!G:G,MATCH($B130,'Mr Manu Vikraman'!$B:$B,0)),""))</f>
        <v/>
      </c>
      <c r="H130" s="128" t="str">
        <f t="array" ref="H130">IFERROR(INDEX('Mr Sandeep Kumar'!H:H,MATCH($B130,'Mr Sandeep Kumar'!$B:$B,0)),IFERROR(INDEX('Mr Manu Vikraman'!H:H,MATCH($B130,'Mr Manu Vikraman'!$B:$B,0)),""))</f>
        <v/>
      </c>
      <c r="I130" s="128" t="str">
        <f t="array" ref="I130">IFERROR(INDEX('Mr Sandeep Kumar'!I:I,MATCH($B130,'Mr Sandeep Kumar'!$B:$B,0)),IFERROR(INDEX('Mr Manu Vikraman'!I:I,MATCH($B130,'Mr Manu Vikraman'!$B:$B,0)),""))</f>
        <v/>
      </c>
      <c r="J130" s="128" t="str">
        <f t="array" ref="J130">IFERROR(INDEX('Mr Sandeep Kumar'!J:J,MATCH($B130,'Mr Sandeep Kumar'!$B:$B,0)),IFERROR(INDEX('Mr Manu Vikraman'!J:J,MATCH($B130,'Mr Manu Vikraman'!$B:$B,0)),""))</f>
        <v/>
      </c>
      <c r="K130" s="128" t="str">
        <f t="array" ref="K130">IFERROR(INDEX('Mr Sandeep Kumar'!K:K,MATCH($B130,'Mr Sandeep Kumar'!$B:$B,0)),IFERROR(INDEX('Mr Manu Vikraman'!K:K,MATCH($B130,'Mr Manu Vikraman'!$B:$B,0)),""))</f>
        <v/>
      </c>
      <c r="L130" s="128" t="str">
        <f t="array" ref="L130">IFERROR(INDEX('Mr Sandeep Kumar'!L:L,MATCH($B130,'Mr Sandeep Kumar'!$B:$B,0)),IFERROR(INDEX('Mr Manu Vikraman'!L:L,MATCH($B130,'Mr Manu Vikraman'!$B:$B,0)),""))</f>
        <v/>
      </c>
      <c r="M130" s="128" t="str">
        <f t="array" ref="M130">IFERROR(INDEX('Mr Sandeep Kumar'!M:M,MATCH($B130,'Mr Sandeep Kumar'!$B:$B,0)),IFERROR(INDEX('Mr Manu Vikraman'!M:M,MATCH($B130,'Mr Manu Vikraman'!$B:$B,0)),""))</f>
        <v/>
      </c>
      <c r="N130" s="128" t="str">
        <f t="array" ref="N130">IFERROR(INDEX('Mr Sandeep Kumar'!N:N,MATCH($B130,'Mr Sandeep Kumar'!$B:$B,0)),IFERROR(INDEX('Mr Manu Vikraman'!N:N,MATCH($B130,'Mr Manu Vikraman'!$B:$B,0)),""))</f>
        <v/>
      </c>
      <c r="O130" s="128" t="str">
        <f t="array" ref="O130">IFERROR(INDEX('Mr Sandeep Kumar'!O:O,MATCH($B130,'Mr Sandeep Kumar'!$B:$B,0)),IFERROR(INDEX('Mr Manu Vikraman'!O:O,MATCH($B130,'Mr Manu Vikraman'!$B:$B,0)),""))</f>
        <v/>
      </c>
      <c r="P130" s="128" t="str">
        <f t="array" ref="P130">IFERROR(INDEX('Mr Sandeep Kumar'!P:P,MATCH($B130,'Mr Sandeep Kumar'!$B:$B,0)),IFERROR(INDEX('Mr Manu Vikraman'!P:P,MATCH($B130,'Mr Manu Vikraman'!$B:$B,0)),""))</f>
        <v/>
      </c>
      <c r="Q130" s="129">
        <f t="shared" si="1"/>
        <v>0</v>
      </c>
      <c r="R130" s="130">
        <f t="shared" si="2"/>
        <v>0</v>
      </c>
      <c r="S130" s="131" t="str">
        <f t="shared" si="3"/>
        <v>D</v>
      </c>
      <c r="T130" s="131" t="str">
        <f t="shared" si="4"/>
        <v>Not Started</v>
      </c>
      <c r="U130" s="132"/>
    </row>
    <row r="131" ht="21.75" customHeight="1">
      <c r="A131" s="125">
        <v>125.0</v>
      </c>
      <c r="B131" s="135" t="s">
        <v>558</v>
      </c>
      <c r="C131" s="134" t="s">
        <v>559</v>
      </c>
      <c r="D131" s="134" t="s">
        <v>560</v>
      </c>
      <c r="E131" s="126"/>
      <c r="F131" s="127"/>
      <c r="G131" s="128" t="str">
        <f t="array" ref="G131">IFERROR(INDEX('Mr Sandeep Kumar'!G:G,MATCH($B131,'Mr Sandeep Kumar'!$B:$B,0)),IFERROR(INDEX('Mr Manu Vikraman'!G:G,MATCH($B131,'Mr Manu Vikraman'!$B:$B,0)),""))</f>
        <v/>
      </c>
      <c r="H131" s="128" t="str">
        <f t="array" ref="H131">IFERROR(INDEX('Mr Sandeep Kumar'!H:H,MATCH($B131,'Mr Sandeep Kumar'!$B:$B,0)),IFERROR(INDEX('Mr Manu Vikraman'!H:H,MATCH($B131,'Mr Manu Vikraman'!$B:$B,0)),""))</f>
        <v/>
      </c>
      <c r="I131" s="128" t="str">
        <f t="array" ref="I131">IFERROR(INDEX('Mr Sandeep Kumar'!I:I,MATCH($B131,'Mr Sandeep Kumar'!$B:$B,0)),IFERROR(INDEX('Mr Manu Vikraman'!I:I,MATCH($B131,'Mr Manu Vikraman'!$B:$B,0)),""))</f>
        <v/>
      </c>
      <c r="J131" s="128" t="str">
        <f t="array" ref="J131">IFERROR(INDEX('Mr Sandeep Kumar'!J:J,MATCH($B131,'Mr Sandeep Kumar'!$B:$B,0)),IFERROR(INDEX('Mr Manu Vikraman'!J:J,MATCH($B131,'Mr Manu Vikraman'!$B:$B,0)),""))</f>
        <v/>
      </c>
      <c r="K131" s="128" t="str">
        <f t="array" ref="K131">IFERROR(INDEX('Mr Sandeep Kumar'!K:K,MATCH($B131,'Mr Sandeep Kumar'!$B:$B,0)),IFERROR(INDEX('Mr Manu Vikraman'!K:K,MATCH($B131,'Mr Manu Vikraman'!$B:$B,0)),""))</f>
        <v/>
      </c>
      <c r="L131" s="128" t="str">
        <f t="array" ref="L131">IFERROR(INDEX('Mr Sandeep Kumar'!L:L,MATCH($B131,'Mr Sandeep Kumar'!$B:$B,0)),IFERROR(INDEX('Mr Manu Vikraman'!L:L,MATCH($B131,'Mr Manu Vikraman'!$B:$B,0)),""))</f>
        <v/>
      </c>
      <c r="M131" s="128" t="str">
        <f t="array" ref="M131">IFERROR(INDEX('Mr Sandeep Kumar'!M:M,MATCH($B131,'Mr Sandeep Kumar'!$B:$B,0)),IFERROR(INDEX('Mr Manu Vikraman'!M:M,MATCH($B131,'Mr Manu Vikraman'!$B:$B,0)),""))</f>
        <v/>
      </c>
      <c r="N131" s="128" t="str">
        <f t="array" ref="N131">IFERROR(INDEX('Mr Sandeep Kumar'!N:N,MATCH($B131,'Mr Sandeep Kumar'!$B:$B,0)),IFERROR(INDEX('Mr Manu Vikraman'!N:N,MATCH($B131,'Mr Manu Vikraman'!$B:$B,0)),""))</f>
        <v/>
      </c>
      <c r="O131" s="128" t="str">
        <f t="array" ref="O131">IFERROR(INDEX('Mr Sandeep Kumar'!O:O,MATCH($B131,'Mr Sandeep Kumar'!$B:$B,0)),IFERROR(INDEX('Mr Manu Vikraman'!O:O,MATCH($B131,'Mr Manu Vikraman'!$B:$B,0)),""))</f>
        <v/>
      </c>
      <c r="P131" s="128" t="str">
        <f t="array" ref="P131">IFERROR(INDEX('Mr Sandeep Kumar'!P:P,MATCH($B131,'Mr Sandeep Kumar'!$B:$B,0)),IFERROR(INDEX('Mr Manu Vikraman'!P:P,MATCH($B131,'Mr Manu Vikraman'!$B:$B,0)),""))</f>
        <v/>
      </c>
      <c r="Q131" s="129">
        <f t="shared" si="1"/>
        <v>0</v>
      </c>
      <c r="R131" s="130">
        <f t="shared" si="2"/>
        <v>0</v>
      </c>
      <c r="S131" s="131" t="str">
        <f t="shared" si="3"/>
        <v>D</v>
      </c>
      <c r="T131" s="131" t="str">
        <f t="shared" si="4"/>
        <v>Not Started</v>
      </c>
      <c r="U131" s="132"/>
    </row>
    <row r="132" ht="21.75" customHeight="1">
      <c r="A132" s="125">
        <v>126.0</v>
      </c>
      <c r="B132" s="135" t="s">
        <v>561</v>
      </c>
      <c r="C132" s="134" t="s">
        <v>562</v>
      </c>
      <c r="D132" s="134" t="s">
        <v>563</v>
      </c>
      <c r="E132" s="126"/>
      <c r="F132" s="127"/>
      <c r="G132" s="128" t="str">
        <f t="array" ref="G132">IFERROR(INDEX('Mr Sandeep Kumar'!G:G,MATCH($B132,'Mr Sandeep Kumar'!$B:$B,0)),IFERROR(INDEX('Mr Manu Vikraman'!G:G,MATCH($B132,'Mr Manu Vikraman'!$B:$B,0)),""))</f>
        <v/>
      </c>
      <c r="H132" s="128" t="str">
        <f t="array" ref="H132">IFERROR(INDEX('Mr Sandeep Kumar'!H:H,MATCH($B132,'Mr Sandeep Kumar'!$B:$B,0)),IFERROR(INDEX('Mr Manu Vikraman'!H:H,MATCH($B132,'Mr Manu Vikraman'!$B:$B,0)),""))</f>
        <v/>
      </c>
      <c r="I132" s="128" t="str">
        <f t="array" ref="I132">IFERROR(INDEX('Mr Sandeep Kumar'!I:I,MATCH($B132,'Mr Sandeep Kumar'!$B:$B,0)),IFERROR(INDEX('Mr Manu Vikraman'!I:I,MATCH($B132,'Mr Manu Vikraman'!$B:$B,0)),""))</f>
        <v/>
      </c>
      <c r="J132" s="128" t="str">
        <f t="array" ref="J132">IFERROR(INDEX('Mr Sandeep Kumar'!J:J,MATCH($B132,'Mr Sandeep Kumar'!$B:$B,0)),IFERROR(INDEX('Mr Manu Vikraman'!J:J,MATCH($B132,'Mr Manu Vikraman'!$B:$B,0)),""))</f>
        <v/>
      </c>
      <c r="K132" s="128" t="str">
        <f t="array" ref="K132">IFERROR(INDEX('Mr Sandeep Kumar'!K:K,MATCH($B132,'Mr Sandeep Kumar'!$B:$B,0)),IFERROR(INDEX('Mr Manu Vikraman'!K:K,MATCH($B132,'Mr Manu Vikraman'!$B:$B,0)),""))</f>
        <v/>
      </c>
      <c r="L132" s="128" t="str">
        <f t="array" ref="L132">IFERROR(INDEX('Mr Sandeep Kumar'!L:L,MATCH($B132,'Mr Sandeep Kumar'!$B:$B,0)),IFERROR(INDEX('Mr Manu Vikraman'!L:L,MATCH($B132,'Mr Manu Vikraman'!$B:$B,0)),""))</f>
        <v/>
      </c>
      <c r="M132" s="128" t="str">
        <f t="array" ref="M132">IFERROR(INDEX('Mr Sandeep Kumar'!M:M,MATCH($B132,'Mr Sandeep Kumar'!$B:$B,0)),IFERROR(INDEX('Mr Manu Vikraman'!M:M,MATCH($B132,'Mr Manu Vikraman'!$B:$B,0)),""))</f>
        <v/>
      </c>
      <c r="N132" s="128" t="str">
        <f t="array" ref="N132">IFERROR(INDEX('Mr Sandeep Kumar'!N:N,MATCH($B132,'Mr Sandeep Kumar'!$B:$B,0)),IFERROR(INDEX('Mr Manu Vikraman'!N:N,MATCH($B132,'Mr Manu Vikraman'!$B:$B,0)),""))</f>
        <v/>
      </c>
      <c r="O132" s="128" t="str">
        <f t="array" ref="O132">IFERROR(INDEX('Mr Sandeep Kumar'!O:O,MATCH($B132,'Mr Sandeep Kumar'!$B:$B,0)),IFERROR(INDEX('Mr Manu Vikraman'!O:O,MATCH($B132,'Mr Manu Vikraman'!$B:$B,0)),""))</f>
        <v/>
      </c>
      <c r="P132" s="128" t="str">
        <f t="array" ref="P132">IFERROR(INDEX('Mr Sandeep Kumar'!P:P,MATCH($B132,'Mr Sandeep Kumar'!$B:$B,0)),IFERROR(INDEX('Mr Manu Vikraman'!P:P,MATCH($B132,'Mr Manu Vikraman'!$B:$B,0)),""))</f>
        <v/>
      </c>
      <c r="Q132" s="129">
        <f t="shared" si="1"/>
        <v>0</v>
      </c>
      <c r="R132" s="130">
        <f t="shared" si="2"/>
        <v>0</v>
      </c>
      <c r="S132" s="131" t="str">
        <f t="shared" si="3"/>
        <v>D</v>
      </c>
      <c r="T132" s="131" t="str">
        <f t="shared" si="4"/>
        <v>Not Started</v>
      </c>
      <c r="U132" s="132"/>
    </row>
    <row r="133" ht="21.75" customHeight="1">
      <c r="A133" s="125">
        <v>127.0</v>
      </c>
      <c r="B133" s="135" t="s">
        <v>564</v>
      </c>
      <c r="C133" s="134" t="s">
        <v>565</v>
      </c>
      <c r="D133" s="134" t="s">
        <v>566</v>
      </c>
      <c r="E133" s="126"/>
      <c r="F133" s="127"/>
      <c r="G133" s="128" t="str">
        <f t="array" ref="G133">IFERROR(INDEX('Mr Sandeep Kumar'!G:G,MATCH($B133,'Mr Sandeep Kumar'!$B:$B,0)),IFERROR(INDEX('Mr Manu Vikraman'!G:G,MATCH($B133,'Mr Manu Vikraman'!$B:$B,0)),""))</f>
        <v/>
      </c>
      <c r="H133" s="128" t="str">
        <f t="array" ref="H133">IFERROR(INDEX('Mr Sandeep Kumar'!H:H,MATCH($B133,'Mr Sandeep Kumar'!$B:$B,0)),IFERROR(INDEX('Mr Manu Vikraman'!H:H,MATCH($B133,'Mr Manu Vikraman'!$B:$B,0)),""))</f>
        <v/>
      </c>
      <c r="I133" s="128" t="str">
        <f t="array" ref="I133">IFERROR(INDEX('Mr Sandeep Kumar'!I:I,MATCH($B133,'Mr Sandeep Kumar'!$B:$B,0)),IFERROR(INDEX('Mr Manu Vikraman'!I:I,MATCH($B133,'Mr Manu Vikraman'!$B:$B,0)),""))</f>
        <v/>
      </c>
      <c r="J133" s="128" t="str">
        <f t="array" ref="J133">IFERROR(INDEX('Mr Sandeep Kumar'!J:J,MATCH($B133,'Mr Sandeep Kumar'!$B:$B,0)),IFERROR(INDEX('Mr Manu Vikraman'!J:J,MATCH($B133,'Mr Manu Vikraman'!$B:$B,0)),""))</f>
        <v/>
      </c>
      <c r="K133" s="128" t="str">
        <f t="array" ref="K133">IFERROR(INDEX('Mr Sandeep Kumar'!K:K,MATCH($B133,'Mr Sandeep Kumar'!$B:$B,0)),IFERROR(INDEX('Mr Manu Vikraman'!K:K,MATCH($B133,'Mr Manu Vikraman'!$B:$B,0)),""))</f>
        <v/>
      </c>
      <c r="L133" s="128" t="str">
        <f t="array" ref="L133">IFERROR(INDEX('Mr Sandeep Kumar'!L:L,MATCH($B133,'Mr Sandeep Kumar'!$B:$B,0)),IFERROR(INDEX('Mr Manu Vikraman'!L:L,MATCH($B133,'Mr Manu Vikraman'!$B:$B,0)),""))</f>
        <v/>
      </c>
      <c r="M133" s="128" t="str">
        <f t="array" ref="M133">IFERROR(INDEX('Mr Sandeep Kumar'!M:M,MATCH($B133,'Mr Sandeep Kumar'!$B:$B,0)),IFERROR(INDEX('Mr Manu Vikraman'!M:M,MATCH($B133,'Mr Manu Vikraman'!$B:$B,0)),""))</f>
        <v/>
      </c>
      <c r="N133" s="128" t="str">
        <f t="array" ref="N133">IFERROR(INDEX('Mr Sandeep Kumar'!N:N,MATCH($B133,'Mr Sandeep Kumar'!$B:$B,0)),IFERROR(INDEX('Mr Manu Vikraman'!N:N,MATCH($B133,'Mr Manu Vikraman'!$B:$B,0)),""))</f>
        <v/>
      </c>
      <c r="O133" s="128" t="str">
        <f t="array" ref="O133">IFERROR(INDEX('Mr Sandeep Kumar'!O:O,MATCH($B133,'Mr Sandeep Kumar'!$B:$B,0)),IFERROR(INDEX('Mr Manu Vikraman'!O:O,MATCH($B133,'Mr Manu Vikraman'!$B:$B,0)),""))</f>
        <v/>
      </c>
      <c r="P133" s="128" t="str">
        <f t="array" ref="P133">IFERROR(INDEX('Mr Sandeep Kumar'!P:P,MATCH($B133,'Mr Sandeep Kumar'!$B:$B,0)),IFERROR(INDEX('Mr Manu Vikraman'!P:P,MATCH($B133,'Mr Manu Vikraman'!$B:$B,0)),""))</f>
        <v/>
      </c>
      <c r="Q133" s="129">
        <f t="shared" si="1"/>
        <v>0</v>
      </c>
      <c r="R133" s="130">
        <f t="shared" si="2"/>
        <v>0</v>
      </c>
      <c r="S133" s="131" t="str">
        <f t="shared" si="3"/>
        <v>D</v>
      </c>
      <c r="T133" s="131" t="str">
        <f t="shared" si="4"/>
        <v>Not Started</v>
      </c>
      <c r="U133" s="132"/>
    </row>
    <row r="134" ht="21.75" customHeight="1">
      <c r="A134" s="125">
        <v>128.0</v>
      </c>
      <c r="B134" s="135" t="s">
        <v>567</v>
      </c>
      <c r="C134" s="134" t="s">
        <v>568</v>
      </c>
      <c r="D134" s="134" t="s">
        <v>569</v>
      </c>
      <c r="E134" s="126"/>
      <c r="F134" s="127"/>
      <c r="G134" s="128" t="str">
        <f t="array" ref="G134">IFERROR(INDEX('Mr Sandeep Kumar'!G:G,MATCH($B134,'Mr Sandeep Kumar'!$B:$B,0)),IFERROR(INDEX('Mr Manu Vikraman'!G:G,MATCH($B134,'Mr Manu Vikraman'!$B:$B,0)),""))</f>
        <v/>
      </c>
      <c r="H134" s="128" t="str">
        <f t="array" ref="H134">IFERROR(INDEX('Mr Sandeep Kumar'!H:H,MATCH($B134,'Mr Sandeep Kumar'!$B:$B,0)),IFERROR(INDEX('Mr Manu Vikraman'!H:H,MATCH($B134,'Mr Manu Vikraman'!$B:$B,0)),""))</f>
        <v/>
      </c>
      <c r="I134" s="128" t="str">
        <f t="array" ref="I134">IFERROR(INDEX('Mr Sandeep Kumar'!I:I,MATCH($B134,'Mr Sandeep Kumar'!$B:$B,0)),IFERROR(INDEX('Mr Manu Vikraman'!I:I,MATCH($B134,'Mr Manu Vikraman'!$B:$B,0)),""))</f>
        <v/>
      </c>
      <c r="J134" s="128" t="str">
        <f t="array" ref="J134">IFERROR(INDEX('Mr Sandeep Kumar'!J:J,MATCH($B134,'Mr Sandeep Kumar'!$B:$B,0)),IFERROR(INDEX('Mr Manu Vikraman'!J:J,MATCH($B134,'Mr Manu Vikraman'!$B:$B,0)),""))</f>
        <v/>
      </c>
      <c r="K134" s="128" t="str">
        <f t="array" ref="K134">IFERROR(INDEX('Mr Sandeep Kumar'!K:K,MATCH($B134,'Mr Sandeep Kumar'!$B:$B,0)),IFERROR(INDEX('Mr Manu Vikraman'!K:K,MATCH($B134,'Mr Manu Vikraman'!$B:$B,0)),""))</f>
        <v/>
      </c>
      <c r="L134" s="128" t="str">
        <f t="array" ref="L134">IFERROR(INDEX('Mr Sandeep Kumar'!L:L,MATCH($B134,'Mr Sandeep Kumar'!$B:$B,0)),IFERROR(INDEX('Mr Manu Vikraman'!L:L,MATCH($B134,'Mr Manu Vikraman'!$B:$B,0)),""))</f>
        <v/>
      </c>
      <c r="M134" s="128" t="str">
        <f t="array" ref="M134">IFERROR(INDEX('Mr Sandeep Kumar'!M:M,MATCH($B134,'Mr Sandeep Kumar'!$B:$B,0)),IFERROR(INDEX('Mr Manu Vikraman'!M:M,MATCH($B134,'Mr Manu Vikraman'!$B:$B,0)),""))</f>
        <v/>
      </c>
      <c r="N134" s="128" t="str">
        <f t="array" ref="N134">IFERROR(INDEX('Mr Sandeep Kumar'!N:N,MATCH($B134,'Mr Sandeep Kumar'!$B:$B,0)),IFERROR(INDEX('Mr Manu Vikraman'!N:N,MATCH($B134,'Mr Manu Vikraman'!$B:$B,0)),""))</f>
        <v/>
      </c>
      <c r="O134" s="128" t="str">
        <f t="array" ref="O134">IFERROR(INDEX('Mr Sandeep Kumar'!O:O,MATCH($B134,'Mr Sandeep Kumar'!$B:$B,0)),IFERROR(INDEX('Mr Manu Vikraman'!O:O,MATCH($B134,'Mr Manu Vikraman'!$B:$B,0)),""))</f>
        <v/>
      </c>
      <c r="P134" s="128" t="str">
        <f t="array" ref="P134">IFERROR(INDEX('Mr Sandeep Kumar'!P:P,MATCH($B134,'Mr Sandeep Kumar'!$B:$B,0)),IFERROR(INDEX('Mr Manu Vikraman'!P:P,MATCH($B134,'Mr Manu Vikraman'!$B:$B,0)),""))</f>
        <v/>
      </c>
      <c r="Q134" s="129">
        <f t="shared" si="1"/>
        <v>0</v>
      </c>
      <c r="R134" s="130">
        <f t="shared" si="2"/>
        <v>0</v>
      </c>
      <c r="S134" s="131" t="str">
        <f t="shared" si="3"/>
        <v>D</v>
      </c>
      <c r="T134" s="131" t="str">
        <f t="shared" si="4"/>
        <v>Not Started</v>
      </c>
      <c r="U134" s="132"/>
    </row>
    <row r="135" ht="21.75" customHeight="1">
      <c r="A135" s="125">
        <v>129.0</v>
      </c>
      <c r="B135" s="135" t="s">
        <v>570</v>
      </c>
      <c r="C135" s="134" t="s">
        <v>571</v>
      </c>
      <c r="D135" s="134" t="s">
        <v>572</v>
      </c>
      <c r="E135" s="126"/>
      <c r="F135" s="127"/>
      <c r="G135" s="128" t="str">
        <f t="array" ref="G135">IFERROR(INDEX('Mr Sandeep Kumar'!G:G,MATCH($B135,'Mr Sandeep Kumar'!$B:$B,0)),IFERROR(INDEX('Mr Manu Vikraman'!G:G,MATCH($B135,'Mr Manu Vikraman'!$B:$B,0)),""))</f>
        <v/>
      </c>
      <c r="H135" s="128" t="str">
        <f t="array" ref="H135">IFERROR(INDEX('Mr Sandeep Kumar'!H:H,MATCH($B135,'Mr Sandeep Kumar'!$B:$B,0)),IFERROR(INDEX('Mr Manu Vikraman'!H:H,MATCH($B135,'Mr Manu Vikraman'!$B:$B,0)),""))</f>
        <v/>
      </c>
      <c r="I135" s="128" t="str">
        <f t="array" ref="I135">IFERROR(INDEX('Mr Sandeep Kumar'!I:I,MATCH($B135,'Mr Sandeep Kumar'!$B:$B,0)),IFERROR(INDEX('Mr Manu Vikraman'!I:I,MATCH($B135,'Mr Manu Vikraman'!$B:$B,0)),""))</f>
        <v/>
      </c>
      <c r="J135" s="128" t="str">
        <f t="array" ref="J135">IFERROR(INDEX('Mr Sandeep Kumar'!J:J,MATCH($B135,'Mr Sandeep Kumar'!$B:$B,0)),IFERROR(INDEX('Mr Manu Vikraman'!J:J,MATCH($B135,'Mr Manu Vikraman'!$B:$B,0)),""))</f>
        <v/>
      </c>
      <c r="K135" s="128" t="str">
        <f t="array" ref="K135">IFERROR(INDEX('Mr Sandeep Kumar'!K:K,MATCH($B135,'Mr Sandeep Kumar'!$B:$B,0)),IFERROR(INDEX('Mr Manu Vikraman'!K:K,MATCH($B135,'Mr Manu Vikraman'!$B:$B,0)),""))</f>
        <v/>
      </c>
      <c r="L135" s="128" t="str">
        <f t="array" ref="L135">IFERROR(INDEX('Mr Sandeep Kumar'!L:L,MATCH($B135,'Mr Sandeep Kumar'!$B:$B,0)),IFERROR(INDEX('Mr Manu Vikraman'!L:L,MATCH($B135,'Mr Manu Vikraman'!$B:$B,0)),""))</f>
        <v/>
      </c>
      <c r="M135" s="128" t="str">
        <f t="array" ref="M135">IFERROR(INDEX('Mr Sandeep Kumar'!M:M,MATCH($B135,'Mr Sandeep Kumar'!$B:$B,0)),IFERROR(INDEX('Mr Manu Vikraman'!M:M,MATCH($B135,'Mr Manu Vikraman'!$B:$B,0)),""))</f>
        <v/>
      </c>
      <c r="N135" s="128" t="str">
        <f t="array" ref="N135">IFERROR(INDEX('Mr Sandeep Kumar'!N:N,MATCH($B135,'Mr Sandeep Kumar'!$B:$B,0)),IFERROR(INDEX('Mr Manu Vikraman'!N:N,MATCH($B135,'Mr Manu Vikraman'!$B:$B,0)),""))</f>
        <v/>
      </c>
      <c r="O135" s="128" t="str">
        <f t="array" ref="O135">IFERROR(INDEX('Mr Sandeep Kumar'!O:O,MATCH($B135,'Mr Sandeep Kumar'!$B:$B,0)),IFERROR(INDEX('Mr Manu Vikraman'!O:O,MATCH($B135,'Mr Manu Vikraman'!$B:$B,0)),""))</f>
        <v/>
      </c>
      <c r="P135" s="128" t="str">
        <f t="array" ref="P135">IFERROR(INDEX('Mr Sandeep Kumar'!P:P,MATCH($B135,'Mr Sandeep Kumar'!$B:$B,0)),IFERROR(INDEX('Mr Manu Vikraman'!P:P,MATCH($B135,'Mr Manu Vikraman'!$B:$B,0)),""))</f>
        <v/>
      </c>
      <c r="Q135" s="129">
        <f t="shared" si="1"/>
        <v>0</v>
      </c>
      <c r="R135" s="130">
        <f t="shared" si="2"/>
        <v>0</v>
      </c>
      <c r="S135" s="131" t="str">
        <f t="shared" si="3"/>
        <v>D</v>
      </c>
      <c r="T135" s="131" t="str">
        <f t="shared" si="4"/>
        <v>Not Started</v>
      </c>
      <c r="U135" s="132"/>
    </row>
    <row r="136" ht="21.75" customHeight="1">
      <c r="A136" s="125">
        <v>130.0</v>
      </c>
      <c r="B136" s="135" t="s">
        <v>573</v>
      </c>
      <c r="C136" s="134" t="s">
        <v>574</v>
      </c>
      <c r="D136" s="134" t="s">
        <v>575</v>
      </c>
      <c r="E136" s="126"/>
      <c r="F136" s="127"/>
      <c r="G136" s="128" t="str">
        <f t="array" ref="G136">IFERROR(INDEX('Mr Sandeep Kumar'!G:G,MATCH($B136,'Mr Sandeep Kumar'!$B:$B,0)),IFERROR(INDEX('Mr Manu Vikraman'!G:G,MATCH($B136,'Mr Manu Vikraman'!$B:$B,0)),""))</f>
        <v/>
      </c>
      <c r="H136" s="128" t="str">
        <f t="array" ref="H136">IFERROR(INDEX('Mr Sandeep Kumar'!H:H,MATCH($B136,'Mr Sandeep Kumar'!$B:$B,0)),IFERROR(INDEX('Mr Manu Vikraman'!H:H,MATCH($B136,'Mr Manu Vikraman'!$B:$B,0)),""))</f>
        <v/>
      </c>
      <c r="I136" s="128" t="str">
        <f t="array" ref="I136">IFERROR(INDEX('Mr Sandeep Kumar'!I:I,MATCH($B136,'Mr Sandeep Kumar'!$B:$B,0)),IFERROR(INDEX('Mr Manu Vikraman'!I:I,MATCH($B136,'Mr Manu Vikraman'!$B:$B,0)),""))</f>
        <v/>
      </c>
      <c r="J136" s="128" t="str">
        <f t="array" ref="J136">IFERROR(INDEX('Mr Sandeep Kumar'!J:J,MATCH($B136,'Mr Sandeep Kumar'!$B:$B,0)),IFERROR(INDEX('Mr Manu Vikraman'!J:J,MATCH($B136,'Mr Manu Vikraman'!$B:$B,0)),""))</f>
        <v/>
      </c>
      <c r="K136" s="128" t="str">
        <f t="array" ref="K136">IFERROR(INDEX('Mr Sandeep Kumar'!K:K,MATCH($B136,'Mr Sandeep Kumar'!$B:$B,0)),IFERROR(INDEX('Mr Manu Vikraman'!K:K,MATCH($B136,'Mr Manu Vikraman'!$B:$B,0)),""))</f>
        <v/>
      </c>
      <c r="L136" s="128" t="str">
        <f t="array" ref="L136">IFERROR(INDEX('Mr Sandeep Kumar'!L:L,MATCH($B136,'Mr Sandeep Kumar'!$B:$B,0)),IFERROR(INDEX('Mr Manu Vikraman'!L:L,MATCH($B136,'Mr Manu Vikraman'!$B:$B,0)),""))</f>
        <v/>
      </c>
      <c r="M136" s="128" t="str">
        <f t="array" ref="M136">IFERROR(INDEX('Mr Sandeep Kumar'!M:M,MATCH($B136,'Mr Sandeep Kumar'!$B:$B,0)),IFERROR(INDEX('Mr Manu Vikraman'!M:M,MATCH($B136,'Mr Manu Vikraman'!$B:$B,0)),""))</f>
        <v/>
      </c>
      <c r="N136" s="128" t="str">
        <f t="array" ref="N136">IFERROR(INDEX('Mr Sandeep Kumar'!N:N,MATCH($B136,'Mr Sandeep Kumar'!$B:$B,0)),IFERROR(INDEX('Mr Manu Vikraman'!N:N,MATCH($B136,'Mr Manu Vikraman'!$B:$B,0)),""))</f>
        <v/>
      </c>
      <c r="O136" s="128" t="str">
        <f t="array" ref="O136">IFERROR(INDEX('Mr Sandeep Kumar'!O:O,MATCH($B136,'Mr Sandeep Kumar'!$B:$B,0)),IFERROR(INDEX('Mr Manu Vikraman'!O:O,MATCH($B136,'Mr Manu Vikraman'!$B:$B,0)),""))</f>
        <v/>
      </c>
      <c r="P136" s="128" t="str">
        <f t="array" ref="P136">IFERROR(INDEX('Mr Sandeep Kumar'!P:P,MATCH($B136,'Mr Sandeep Kumar'!$B:$B,0)),IFERROR(INDEX('Mr Manu Vikraman'!P:P,MATCH($B136,'Mr Manu Vikraman'!$B:$B,0)),""))</f>
        <v/>
      </c>
      <c r="Q136" s="129">
        <f t="shared" si="1"/>
        <v>0</v>
      </c>
      <c r="R136" s="130">
        <f t="shared" si="2"/>
        <v>0</v>
      </c>
      <c r="S136" s="131" t="str">
        <f t="shared" si="3"/>
        <v>D</v>
      </c>
      <c r="T136" s="131" t="str">
        <f t="shared" si="4"/>
        <v>Not Started</v>
      </c>
      <c r="U136" s="132"/>
    </row>
    <row r="137" ht="21.75" customHeight="1">
      <c r="A137" s="125">
        <v>131.0</v>
      </c>
      <c r="B137" s="135" t="s">
        <v>576</v>
      </c>
      <c r="C137" s="134" t="s">
        <v>577</v>
      </c>
      <c r="D137" s="134" t="s">
        <v>578</v>
      </c>
      <c r="E137" s="126"/>
      <c r="F137" s="127"/>
      <c r="G137" s="128" t="str">
        <f t="array" ref="G137">IFERROR(INDEX('Mr Sandeep Kumar'!G:G,MATCH($B137,'Mr Sandeep Kumar'!$B:$B,0)),IFERROR(INDEX('Mr Manu Vikraman'!G:G,MATCH($B137,'Mr Manu Vikraman'!$B:$B,0)),""))</f>
        <v/>
      </c>
      <c r="H137" s="128" t="str">
        <f t="array" ref="H137">IFERROR(INDEX('Mr Sandeep Kumar'!H:H,MATCH($B137,'Mr Sandeep Kumar'!$B:$B,0)),IFERROR(INDEX('Mr Manu Vikraman'!H:H,MATCH($B137,'Mr Manu Vikraman'!$B:$B,0)),""))</f>
        <v/>
      </c>
      <c r="I137" s="128" t="str">
        <f t="array" ref="I137">IFERROR(INDEX('Mr Sandeep Kumar'!I:I,MATCH($B137,'Mr Sandeep Kumar'!$B:$B,0)),IFERROR(INDEX('Mr Manu Vikraman'!I:I,MATCH($B137,'Mr Manu Vikraman'!$B:$B,0)),""))</f>
        <v/>
      </c>
      <c r="J137" s="128" t="str">
        <f t="array" ref="J137">IFERROR(INDEX('Mr Sandeep Kumar'!J:J,MATCH($B137,'Mr Sandeep Kumar'!$B:$B,0)),IFERROR(INDEX('Mr Manu Vikraman'!J:J,MATCH($B137,'Mr Manu Vikraman'!$B:$B,0)),""))</f>
        <v/>
      </c>
      <c r="K137" s="128" t="str">
        <f t="array" ref="K137">IFERROR(INDEX('Mr Sandeep Kumar'!K:K,MATCH($B137,'Mr Sandeep Kumar'!$B:$B,0)),IFERROR(INDEX('Mr Manu Vikraman'!K:K,MATCH($B137,'Mr Manu Vikraman'!$B:$B,0)),""))</f>
        <v/>
      </c>
      <c r="L137" s="128" t="str">
        <f t="array" ref="L137">IFERROR(INDEX('Mr Sandeep Kumar'!L:L,MATCH($B137,'Mr Sandeep Kumar'!$B:$B,0)),IFERROR(INDEX('Mr Manu Vikraman'!L:L,MATCH($B137,'Mr Manu Vikraman'!$B:$B,0)),""))</f>
        <v/>
      </c>
      <c r="M137" s="128" t="str">
        <f t="array" ref="M137">IFERROR(INDEX('Mr Sandeep Kumar'!M:M,MATCH($B137,'Mr Sandeep Kumar'!$B:$B,0)),IFERROR(INDEX('Mr Manu Vikraman'!M:M,MATCH($B137,'Mr Manu Vikraman'!$B:$B,0)),""))</f>
        <v/>
      </c>
      <c r="N137" s="128" t="str">
        <f t="array" ref="N137">IFERROR(INDEX('Mr Sandeep Kumar'!N:N,MATCH($B137,'Mr Sandeep Kumar'!$B:$B,0)),IFERROR(INDEX('Mr Manu Vikraman'!N:N,MATCH($B137,'Mr Manu Vikraman'!$B:$B,0)),""))</f>
        <v/>
      </c>
      <c r="O137" s="128" t="str">
        <f t="array" ref="O137">IFERROR(INDEX('Mr Sandeep Kumar'!O:O,MATCH($B137,'Mr Sandeep Kumar'!$B:$B,0)),IFERROR(INDEX('Mr Manu Vikraman'!O:O,MATCH($B137,'Mr Manu Vikraman'!$B:$B,0)),""))</f>
        <v/>
      </c>
      <c r="P137" s="128" t="str">
        <f t="array" ref="P137">IFERROR(INDEX('Mr Sandeep Kumar'!P:P,MATCH($B137,'Mr Sandeep Kumar'!$B:$B,0)),IFERROR(INDEX('Mr Manu Vikraman'!P:P,MATCH($B137,'Mr Manu Vikraman'!$B:$B,0)),""))</f>
        <v/>
      </c>
      <c r="Q137" s="129">
        <f t="shared" si="1"/>
        <v>0</v>
      </c>
      <c r="R137" s="130">
        <f t="shared" si="2"/>
        <v>0</v>
      </c>
      <c r="S137" s="131" t="str">
        <f t="shared" si="3"/>
        <v>D</v>
      </c>
      <c r="T137" s="131" t="str">
        <f t="shared" si="4"/>
        <v>Not Started</v>
      </c>
      <c r="U137" s="132"/>
    </row>
    <row r="138" ht="21.75" customHeight="1">
      <c r="A138" s="125">
        <v>132.0</v>
      </c>
      <c r="B138" s="135" t="s">
        <v>579</v>
      </c>
      <c r="C138" s="134" t="s">
        <v>580</v>
      </c>
      <c r="D138" s="134" t="s">
        <v>581</v>
      </c>
      <c r="E138" s="126"/>
      <c r="F138" s="127"/>
      <c r="G138" s="128" t="str">
        <f t="array" ref="G138">IFERROR(INDEX('Mr Sandeep Kumar'!G:G,MATCH($B138,'Mr Sandeep Kumar'!$B:$B,0)),IFERROR(INDEX('Mr Manu Vikraman'!G:G,MATCH($B138,'Mr Manu Vikraman'!$B:$B,0)),""))</f>
        <v/>
      </c>
      <c r="H138" s="128" t="str">
        <f t="array" ref="H138">IFERROR(INDEX('Mr Sandeep Kumar'!H:H,MATCH($B138,'Mr Sandeep Kumar'!$B:$B,0)),IFERROR(INDEX('Mr Manu Vikraman'!H:H,MATCH($B138,'Mr Manu Vikraman'!$B:$B,0)),""))</f>
        <v/>
      </c>
      <c r="I138" s="128" t="str">
        <f t="array" ref="I138">IFERROR(INDEX('Mr Sandeep Kumar'!I:I,MATCH($B138,'Mr Sandeep Kumar'!$B:$B,0)),IFERROR(INDEX('Mr Manu Vikraman'!I:I,MATCH($B138,'Mr Manu Vikraman'!$B:$B,0)),""))</f>
        <v/>
      </c>
      <c r="J138" s="128" t="str">
        <f t="array" ref="J138">IFERROR(INDEX('Mr Sandeep Kumar'!J:J,MATCH($B138,'Mr Sandeep Kumar'!$B:$B,0)),IFERROR(INDEX('Mr Manu Vikraman'!J:J,MATCH($B138,'Mr Manu Vikraman'!$B:$B,0)),""))</f>
        <v/>
      </c>
      <c r="K138" s="128" t="str">
        <f t="array" ref="K138">IFERROR(INDEX('Mr Sandeep Kumar'!K:K,MATCH($B138,'Mr Sandeep Kumar'!$B:$B,0)),IFERROR(INDEX('Mr Manu Vikraman'!K:K,MATCH($B138,'Mr Manu Vikraman'!$B:$B,0)),""))</f>
        <v/>
      </c>
      <c r="L138" s="128" t="str">
        <f t="array" ref="L138">IFERROR(INDEX('Mr Sandeep Kumar'!L:L,MATCH($B138,'Mr Sandeep Kumar'!$B:$B,0)),IFERROR(INDEX('Mr Manu Vikraman'!L:L,MATCH($B138,'Mr Manu Vikraman'!$B:$B,0)),""))</f>
        <v/>
      </c>
      <c r="M138" s="128" t="str">
        <f t="array" ref="M138">IFERROR(INDEX('Mr Sandeep Kumar'!M:M,MATCH($B138,'Mr Sandeep Kumar'!$B:$B,0)),IFERROR(INDEX('Mr Manu Vikraman'!M:M,MATCH($B138,'Mr Manu Vikraman'!$B:$B,0)),""))</f>
        <v/>
      </c>
      <c r="N138" s="128" t="str">
        <f t="array" ref="N138">IFERROR(INDEX('Mr Sandeep Kumar'!N:N,MATCH($B138,'Mr Sandeep Kumar'!$B:$B,0)),IFERROR(INDEX('Mr Manu Vikraman'!N:N,MATCH($B138,'Mr Manu Vikraman'!$B:$B,0)),""))</f>
        <v/>
      </c>
      <c r="O138" s="128" t="str">
        <f t="array" ref="O138">IFERROR(INDEX('Mr Sandeep Kumar'!O:O,MATCH($B138,'Mr Sandeep Kumar'!$B:$B,0)),IFERROR(INDEX('Mr Manu Vikraman'!O:O,MATCH($B138,'Mr Manu Vikraman'!$B:$B,0)),""))</f>
        <v/>
      </c>
      <c r="P138" s="128" t="str">
        <f t="array" ref="P138">IFERROR(INDEX('Mr Sandeep Kumar'!P:P,MATCH($B138,'Mr Sandeep Kumar'!$B:$B,0)),IFERROR(INDEX('Mr Manu Vikraman'!P:P,MATCH($B138,'Mr Manu Vikraman'!$B:$B,0)),""))</f>
        <v/>
      </c>
      <c r="Q138" s="129">
        <f t="shared" si="1"/>
        <v>0</v>
      </c>
      <c r="R138" s="130">
        <f t="shared" si="2"/>
        <v>0</v>
      </c>
      <c r="S138" s="131" t="str">
        <f t="shared" si="3"/>
        <v>D</v>
      </c>
      <c r="T138" s="131" t="str">
        <f t="shared" si="4"/>
        <v>Not Started</v>
      </c>
      <c r="U138" s="132"/>
    </row>
    <row r="139" ht="21.75" customHeight="1">
      <c r="A139" s="125">
        <v>133.0</v>
      </c>
      <c r="B139" s="135" t="s">
        <v>582</v>
      </c>
      <c r="C139" s="134" t="s">
        <v>583</v>
      </c>
      <c r="D139" s="134" t="s">
        <v>584</v>
      </c>
      <c r="E139" s="126"/>
      <c r="F139" s="127"/>
      <c r="G139" s="128" t="str">
        <f t="array" ref="G139">IFERROR(INDEX('Mr Sandeep Kumar'!G:G,MATCH($B139,'Mr Sandeep Kumar'!$B:$B,0)),IFERROR(INDEX('Mr Manu Vikraman'!G:G,MATCH($B139,'Mr Manu Vikraman'!$B:$B,0)),""))</f>
        <v/>
      </c>
      <c r="H139" s="128" t="str">
        <f t="array" ref="H139">IFERROR(INDEX('Mr Sandeep Kumar'!H:H,MATCH($B139,'Mr Sandeep Kumar'!$B:$B,0)),IFERROR(INDEX('Mr Manu Vikraman'!H:H,MATCH($B139,'Mr Manu Vikraman'!$B:$B,0)),""))</f>
        <v/>
      </c>
      <c r="I139" s="128" t="str">
        <f t="array" ref="I139">IFERROR(INDEX('Mr Sandeep Kumar'!I:I,MATCH($B139,'Mr Sandeep Kumar'!$B:$B,0)),IFERROR(INDEX('Mr Manu Vikraman'!I:I,MATCH($B139,'Mr Manu Vikraman'!$B:$B,0)),""))</f>
        <v/>
      </c>
      <c r="J139" s="128" t="str">
        <f t="array" ref="J139">IFERROR(INDEX('Mr Sandeep Kumar'!J:J,MATCH($B139,'Mr Sandeep Kumar'!$B:$B,0)),IFERROR(INDEX('Mr Manu Vikraman'!J:J,MATCH($B139,'Mr Manu Vikraman'!$B:$B,0)),""))</f>
        <v/>
      </c>
      <c r="K139" s="128" t="str">
        <f t="array" ref="K139">IFERROR(INDEX('Mr Sandeep Kumar'!K:K,MATCH($B139,'Mr Sandeep Kumar'!$B:$B,0)),IFERROR(INDEX('Mr Manu Vikraman'!K:K,MATCH($B139,'Mr Manu Vikraman'!$B:$B,0)),""))</f>
        <v/>
      </c>
      <c r="L139" s="128" t="str">
        <f t="array" ref="L139">IFERROR(INDEX('Mr Sandeep Kumar'!L:L,MATCH($B139,'Mr Sandeep Kumar'!$B:$B,0)),IFERROR(INDEX('Mr Manu Vikraman'!L:L,MATCH($B139,'Mr Manu Vikraman'!$B:$B,0)),""))</f>
        <v/>
      </c>
      <c r="M139" s="128" t="str">
        <f t="array" ref="M139">IFERROR(INDEX('Mr Sandeep Kumar'!M:M,MATCH($B139,'Mr Sandeep Kumar'!$B:$B,0)),IFERROR(INDEX('Mr Manu Vikraman'!M:M,MATCH($B139,'Mr Manu Vikraman'!$B:$B,0)),""))</f>
        <v/>
      </c>
      <c r="N139" s="128" t="str">
        <f t="array" ref="N139">IFERROR(INDEX('Mr Sandeep Kumar'!N:N,MATCH($B139,'Mr Sandeep Kumar'!$B:$B,0)),IFERROR(INDEX('Mr Manu Vikraman'!N:N,MATCH($B139,'Mr Manu Vikraman'!$B:$B,0)),""))</f>
        <v/>
      </c>
      <c r="O139" s="128" t="str">
        <f t="array" ref="O139">IFERROR(INDEX('Mr Sandeep Kumar'!O:O,MATCH($B139,'Mr Sandeep Kumar'!$B:$B,0)),IFERROR(INDEX('Mr Manu Vikraman'!O:O,MATCH($B139,'Mr Manu Vikraman'!$B:$B,0)),""))</f>
        <v/>
      </c>
      <c r="P139" s="128" t="str">
        <f t="array" ref="P139">IFERROR(INDEX('Mr Sandeep Kumar'!P:P,MATCH($B139,'Mr Sandeep Kumar'!$B:$B,0)),IFERROR(INDEX('Mr Manu Vikraman'!P:P,MATCH($B139,'Mr Manu Vikraman'!$B:$B,0)),""))</f>
        <v/>
      </c>
      <c r="Q139" s="129">
        <f t="shared" si="1"/>
        <v>0</v>
      </c>
      <c r="R139" s="130">
        <f t="shared" si="2"/>
        <v>0</v>
      </c>
      <c r="S139" s="131" t="str">
        <f t="shared" si="3"/>
        <v>D</v>
      </c>
      <c r="T139" s="131" t="str">
        <f t="shared" si="4"/>
        <v>Not Started</v>
      </c>
      <c r="U139" s="132"/>
    </row>
    <row r="140" ht="21.75" customHeight="1">
      <c r="A140" s="125">
        <v>134.0</v>
      </c>
      <c r="B140" s="135" t="s">
        <v>585</v>
      </c>
      <c r="C140" s="134" t="s">
        <v>586</v>
      </c>
      <c r="D140" s="134" t="s">
        <v>587</v>
      </c>
      <c r="E140" s="126"/>
      <c r="F140" s="127"/>
      <c r="G140" s="128" t="str">
        <f t="array" ref="G140">IFERROR(INDEX('Mr Sandeep Kumar'!G:G,MATCH($B140,'Mr Sandeep Kumar'!$B:$B,0)),IFERROR(INDEX('Mr Manu Vikraman'!G:G,MATCH($B140,'Mr Manu Vikraman'!$B:$B,0)),""))</f>
        <v/>
      </c>
      <c r="H140" s="128" t="str">
        <f t="array" ref="H140">IFERROR(INDEX('Mr Sandeep Kumar'!H:H,MATCH($B140,'Mr Sandeep Kumar'!$B:$B,0)),IFERROR(INDEX('Mr Manu Vikraman'!H:H,MATCH($B140,'Mr Manu Vikraman'!$B:$B,0)),""))</f>
        <v/>
      </c>
      <c r="I140" s="128" t="str">
        <f t="array" ref="I140">IFERROR(INDEX('Mr Sandeep Kumar'!I:I,MATCH($B140,'Mr Sandeep Kumar'!$B:$B,0)),IFERROR(INDEX('Mr Manu Vikraman'!I:I,MATCH($B140,'Mr Manu Vikraman'!$B:$B,0)),""))</f>
        <v/>
      </c>
      <c r="J140" s="128" t="str">
        <f t="array" ref="J140">IFERROR(INDEX('Mr Sandeep Kumar'!J:J,MATCH($B140,'Mr Sandeep Kumar'!$B:$B,0)),IFERROR(INDEX('Mr Manu Vikraman'!J:J,MATCH($B140,'Mr Manu Vikraman'!$B:$B,0)),""))</f>
        <v/>
      </c>
      <c r="K140" s="128" t="str">
        <f t="array" ref="K140">IFERROR(INDEX('Mr Sandeep Kumar'!K:K,MATCH($B140,'Mr Sandeep Kumar'!$B:$B,0)),IFERROR(INDEX('Mr Manu Vikraman'!K:K,MATCH($B140,'Mr Manu Vikraman'!$B:$B,0)),""))</f>
        <v/>
      </c>
      <c r="L140" s="128" t="str">
        <f t="array" ref="L140">IFERROR(INDEX('Mr Sandeep Kumar'!L:L,MATCH($B140,'Mr Sandeep Kumar'!$B:$B,0)),IFERROR(INDEX('Mr Manu Vikraman'!L:L,MATCH($B140,'Mr Manu Vikraman'!$B:$B,0)),""))</f>
        <v/>
      </c>
      <c r="M140" s="128" t="str">
        <f t="array" ref="M140">IFERROR(INDEX('Mr Sandeep Kumar'!M:M,MATCH($B140,'Mr Sandeep Kumar'!$B:$B,0)),IFERROR(INDEX('Mr Manu Vikraman'!M:M,MATCH($B140,'Mr Manu Vikraman'!$B:$B,0)),""))</f>
        <v/>
      </c>
      <c r="N140" s="128" t="str">
        <f t="array" ref="N140">IFERROR(INDEX('Mr Sandeep Kumar'!N:N,MATCH($B140,'Mr Sandeep Kumar'!$B:$B,0)),IFERROR(INDEX('Mr Manu Vikraman'!N:N,MATCH($B140,'Mr Manu Vikraman'!$B:$B,0)),""))</f>
        <v/>
      </c>
      <c r="O140" s="128" t="str">
        <f t="array" ref="O140">IFERROR(INDEX('Mr Sandeep Kumar'!O:O,MATCH($B140,'Mr Sandeep Kumar'!$B:$B,0)),IFERROR(INDEX('Mr Manu Vikraman'!O:O,MATCH($B140,'Mr Manu Vikraman'!$B:$B,0)),""))</f>
        <v/>
      </c>
      <c r="P140" s="128" t="str">
        <f t="array" ref="P140">IFERROR(INDEX('Mr Sandeep Kumar'!P:P,MATCH($B140,'Mr Sandeep Kumar'!$B:$B,0)),IFERROR(INDEX('Mr Manu Vikraman'!P:P,MATCH($B140,'Mr Manu Vikraman'!$B:$B,0)),""))</f>
        <v/>
      </c>
      <c r="Q140" s="129">
        <f t="shared" si="1"/>
        <v>0</v>
      </c>
      <c r="R140" s="130">
        <f t="shared" si="2"/>
        <v>0</v>
      </c>
      <c r="S140" s="131" t="str">
        <f t="shared" si="3"/>
        <v>D</v>
      </c>
      <c r="T140" s="131" t="str">
        <f t="shared" si="4"/>
        <v>Not Started</v>
      </c>
      <c r="U140" s="132"/>
    </row>
    <row r="141" ht="21.75" customHeight="1">
      <c r="A141" s="125">
        <v>135.0</v>
      </c>
      <c r="B141" s="135" t="s">
        <v>588</v>
      </c>
      <c r="C141" s="134" t="s">
        <v>589</v>
      </c>
      <c r="D141" s="134" t="s">
        <v>590</v>
      </c>
      <c r="E141" s="126"/>
      <c r="F141" s="127"/>
      <c r="G141" s="128" t="str">
        <f t="array" ref="G141">IFERROR(INDEX('Mr Sandeep Kumar'!G:G,MATCH($B141,'Mr Sandeep Kumar'!$B:$B,0)),IFERROR(INDEX('Mr Manu Vikraman'!G:G,MATCH($B141,'Mr Manu Vikraman'!$B:$B,0)),""))</f>
        <v/>
      </c>
      <c r="H141" s="128" t="str">
        <f t="array" ref="H141">IFERROR(INDEX('Mr Sandeep Kumar'!H:H,MATCH($B141,'Mr Sandeep Kumar'!$B:$B,0)),IFERROR(INDEX('Mr Manu Vikraman'!H:H,MATCH($B141,'Mr Manu Vikraman'!$B:$B,0)),""))</f>
        <v/>
      </c>
      <c r="I141" s="128" t="str">
        <f t="array" ref="I141">IFERROR(INDEX('Mr Sandeep Kumar'!I:I,MATCH($B141,'Mr Sandeep Kumar'!$B:$B,0)),IFERROR(INDEX('Mr Manu Vikraman'!I:I,MATCH($B141,'Mr Manu Vikraman'!$B:$B,0)),""))</f>
        <v/>
      </c>
      <c r="J141" s="128" t="str">
        <f t="array" ref="J141">IFERROR(INDEX('Mr Sandeep Kumar'!J:J,MATCH($B141,'Mr Sandeep Kumar'!$B:$B,0)),IFERROR(INDEX('Mr Manu Vikraman'!J:J,MATCH($B141,'Mr Manu Vikraman'!$B:$B,0)),""))</f>
        <v/>
      </c>
      <c r="K141" s="128" t="str">
        <f t="array" ref="K141">IFERROR(INDEX('Mr Sandeep Kumar'!K:K,MATCH($B141,'Mr Sandeep Kumar'!$B:$B,0)),IFERROR(INDEX('Mr Manu Vikraman'!K:K,MATCH($B141,'Mr Manu Vikraman'!$B:$B,0)),""))</f>
        <v/>
      </c>
      <c r="L141" s="128" t="str">
        <f t="array" ref="L141">IFERROR(INDEX('Mr Sandeep Kumar'!L:L,MATCH($B141,'Mr Sandeep Kumar'!$B:$B,0)),IFERROR(INDEX('Mr Manu Vikraman'!L:L,MATCH($B141,'Mr Manu Vikraman'!$B:$B,0)),""))</f>
        <v/>
      </c>
      <c r="M141" s="128" t="str">
        <f t="array" ref="M141">IFERROR(INDEX('Mr Sandeep Kumar'!M:M,MATCH($B141,'Mr Sandeep Kumar'!$B:$B,0)),IFERROR(INDEX('Mr Manu Vikraman'!M:M,MATCH($B141,'Mr Manu Vikraman'!$B:$B,0)),""))</f>
        <v/>
      </c>
      <c r="N141" s="128" t="str">
        <f t="array" ref="N141">IFERROR(INDEX('Mr Sandeep Kumar'!N:N,MATCH($B141,'Mr Sandeep Kumar'!$B:$B,0)),IFERROR(INDEX('Mr Manu Vikraman'!N:N,MATCH($B141,'Mr Manu Vikraman'!$B:$B,0)),""))</f>
        <v/>
      </c>
      <c r="O141" s="128" t="str">
        <f t="array" ref="O141">IFERROR(INDEX('Mr Sandeep Kumar'!O:O,MATCH($B141,'Mr Sandeep Kumar'!$B:$B,0)),IFERROR(INDEX('Mr Manu Vikraman'!O:O,MATCH($B141,'Mr Manu Vikraman'!$B:$B,0)),""))</f>
        <v/>
      </c>
      <c r="P141" s="128" t="str">
        <f t="array" ref="P141">IFERROR(INDEX('Mr Sandeep Kumar'!P:P,MATCH($B141,'Mr Sandeep Kumar'!$B:$B,0)),IFERROR(INDEX('Mr Manu Vikraman'!P:P,MATCH($B141,'Mr Manu Vikraman'!$B:$B,0)),""))</f>
        <v/>
      </c>
      <c r="Q141" s="129">
        <f t="shared" si="1"/>
        <v>0</v>
      </c>
      <c r="R141" s="130">
        <f t="shared" si="2"/>
        <v>0</v>
      </c>
      <c r="S141" s="131" t="str">
        <f t="shared" si="3"/>
        <v>D</v>
      </c>
      <c r="T141" s="131" t="str">
        <f t="shared" si="4"/>
        <v>Not Started</v>
      </c>
      <c r="U141" s="132"/>
    </row>
    <row r="142" ht="21.75" customHeight="1">
      <c r="A142" s="125">
        <v>136.0</v>
      </c>
      <c r="B142" s="135" t="s">
        <v>591</v>
      </c>
      <c r="C142" s="134" t="s">
        <v>592</v>
      </c>
      <c r="D142" s="134" t="s">
        <v>593</v>
      </c>
      <c r="E142" s="126"/>
      <c r="F142" s="127"/>
      <c r="G142" s="128" t="str">
        <f t="array" ref="G142">IFERROR(INDEX('Mr Sandeep Kumar'!G:G,MATCH($B142,'Mr Sandeep Kumar'!$B:$B,0)),IFERROR(INDEX('Mr Manu Vikraman'!G:G,MATCH($B142,'Mr Manu Vikraman'!$B:$B,0)),""))</f>
        <v/>
      </c>
      <c r="H142" s="128" t="str">
        <f t="array" ref="H142">IFERROR(INDEX('Mr Sandeep Kumar'!H:H,MATCH($B142,'Mr Sandeep Kumar'!$B:$B,0)),IFERROR(INDEX('Mr Manu Vikraman'!H:H,MATCH($B142,'Mr Manu Vikraman'!$B:$B,0)),""))</f>
        <v/>
      </c>
      <c r="I142" s="128" t="str">
        <f t="array" ref="I142">IFERROR(INDEX('Mr Sandeep Kumar'!I:I,MATCH($B142,'Mr Sandeep Kumar'!$B:$B,0)),IFERROR(INDEX('Mr Manu Vikraman'!I:I,MATCH($B142,'Mr Manu Vikraman'!$B:$B,0)),""))</f>
        <v/>
      </c>
      <c r="J142" s="128" t="str">
        <f t="array" ref="J142">IFERROR(INDEX('Mr Sandeep Kumar'!J:J,MATCH($B142,'Mr Sandeep Kumar'!$B:$B,0)),IFERROR(INDEX('Mr Manu Vikraman'!J:J,MATCH($B142,'Mr Manu Vikraman'!$B:$B,0)),""))</f>
        <v/>
      </c>
      <c r="K142" s="128" t="str">
        <f t="array" ref="K142">IFERROR(INDEX('Mr Sandeep Kumar'!K:K,MATCH($B142,'Mr Sandeep Kumar'!$B:$B,0)),IFERROR(INDEX('Mr Manu Vikraman'!K:K,MATCH($B142,'Mr Manu Vikraman'!$B:$B,0)),""))</f>
        <v/>
      </c>
      <c r="L142" s="128" t="str">
        <f t="array" ref="L142">IFERROR(INDEX('Mr Sandeep Kumar'!L:L,MATCH($B142,'Mr Sandeep Kumar'!$B:$B,0)),IFERROR(INDEX('Mr Manu Vikraman'!L:L,MATCH($B142,'Mr Manu Vikraman'!$B:$B,0)),""))</f>
        <v/>
      </c>
      <c r="M142" s="128" t="str">
        <f t="array" ref="M142">IFERROR(INDEX('Mr Sandeep Kumar'!M:M,MATCH($B142,'Mr Sandeep Kumar'!$B:$B,0)),IFERROR(INDEX('Mr Manu Vikraman'!M:M,MATCH($B142,'Mr Manu Vikraman'!$B:$B,0)),""))</f>
        <v/>
      </c>
      <c r="N142" s="128" t="str">
        <f t="array" ref="N142">IFERROR(INDEX('Mr Sandeep Kumar'!N:N,MATCH($B142,'Mr Sandeep Kumar'!$B:$B,0)),IFERROR(INDEX('Mr Manu Vikraman'!N:N,MATCH($B142,'Mr Manu Vikraman'!$B:$B,0)),""))</f>
        <v/>
      </c>
      <c r="O142" s="128" t="str">
        <f t="array" ref="O142">IFERROR(INDEX('Mr Sandeep Kumar'!O:O,MATCH($B142,'Mr Sandeep Kumar'!$B:$B,0)),IFERROR(INDEX('Mr Manu Vikraman'!O:O,MATCH($B142,'Mr Manu Vikraman'!$B:$B,0)),""))</f>
        <v/>
      </c>
      <c r="P142" s="128" t="str">
        <f t="array" ref="P142">IFERROR(INDEX('Mr Sandeep Kumar'!P:P,MATCH($B142,'Mr Sandeep Kumar'!$B:$B,0)),IFERROR(INDEX('Mr Manu Vikraman'!P:P,MATCH($B142,'Mr Manu Vikraman'!$B:$B,0)),""))</f>
        <v/>
      </c>
      <c r="Q142" s="129">
        <f t="shared" si="1"/>
        <v>0</v>
      </c>
      <c r="R142" s="130">
        <f t="shared" si="2"/>
        <v>0</v>
      </c>
      <c r="S142" s="131" t="str">
        <f t="shared" si="3"/>
        <v>D</v>
      </c>
      <c r="T142" s="131" t="str">
        <f t="shared" si="4"/>
        <v>Not Started</v>
      </c>
      <c r="U142" s="132"/>
    </row>
    <row r="143" ht="21.75" customHeight="1">
      <c r="A143" s="125">
        <v>137.0</v>
      </c>
      <c r="B143" s="135" t="s">
        <v>594</v>
      </c>
      <c r="C143" s="134" t="s">
        <v>595</v>
      </c>
      <c r="D143" s="134" t="s">
        <v>596</v>
      </c>
      <c r="E143" s="126"/>
      <c r="F143" s="127"/>
      <c r="G143" s="128" t="str">
        <f t="array" ref="G143">IFERROR(INDEX('Mr Sandeep Kumar'!G:G,MATCH($B143,'Mr Sandeep Kumar'!$B:$B,0)),IFERROR(INDEX('Mr Manu Vikraman'!G:G,MATCH($B143,'Mr Manu Vikraman'!$B:$B,0)),""))</f>
        <v/>
      </c>
      <c r="H143" s="128" t="str">
        <f t="array" ref="H143">IFERROR(INDEX('Mr Sandeep Kumar'!H:H,MATCH($B143,'Mr Sandeep Kumar'!$B:$B,0)),IFERROR(INDEX('Mr Manu Vikraman'!H:H,MATCH($B143,'Mr Manu Vikraman'!$B:$B,0)),""))</f>
        <v/>
      </c>
      <c r="I143" s="128" t="str">
        <f t="array" ref="I143">IFERROR(INDEX('Mr Sandeep Kumar'!I:I,MATCH($B143,'Mr Sandeep Kumar'!$B:$B,0)),IFERROR(INDEX('Mr Manu Vikraman'!I:I,MATCH($B143,'Mr Manu Vikraman'!$B:$B,0)),""))</f>
        <v/>
      </c>
      <c r="J143" s="128" t="str">
        <f t="array" ref="J143">IFERROR(INDEX('Mr Sandeep Kumar'!J:J,MATCH($B143,'Mr Sandeep Kumar'!$B:$B,0)),IFERROR(INDEX('Mr Manu Vikraman'!J:J,MATCH($B143,'Mr Manu Vikraman'!$B:$B,0)),""))</f>
        <v/>
      </c>
      <c r="K143" s="128" t="str">
        <f t="array" ref="K143">IFERROR(INDEX('Mr Sandeep Kumar'!K:K,MATCH($B143,'Mr Sandeep Kumar'!$B:$B,0)),IFERROR(INDEX('Mr Manu Vikraman'!K:K,MATCH($B143,'Mr Manu Vikraman'!$B:$B,0)),""))</f>
        <v/>
      </c>
      <c r="L143" s="128" t="str">
        <f t="array" ref="L143">IFERROR(INDEX('Mr Sandeep Kumar'!L:L,MATCH($B143,'Mr Sandeep Kumar'!$B:$B,0)),IFERROR(INDEX('Mr Manu Vikraman'!L:L,MATCH($B143,'Mr Manu Vikraman'!$B:$B,0)),""))</f>
        <v/>
      </c>
      <c r="M143" s="128" t="str">
        <f t="array" ref="M143">IFERROR(INDEX('Mr Sandeep Kumar'!M:M,MATCH($B143,'Mr Sandeep Kumar'!$B:$B,0)),IFERROR(INDEX('Mr Manu Vikraman'!M:M,MATCH($B143,'Mr Manu Vikraman'!$B:$B,0)),""))</f>
        <v/>
      </c>
      <c r="N143" s="128" t="str">
        <f t="array" ref="N143">IFERROR(INDEX('Mr Sandeep Kumar'!N:N,MATCH($B143,'Mr Sandeep Kumar'!$B:$B,0)),IFERROR(INDEX('Mr Manu Vikraman'!N:N,MATCH($B143,'Mr Manu Vikraman'!$B:$B,0)),""))</f>
        <v/>
      </c>
      <c r="O143" s="128" t="str">
        <f t="array" ref="O143">IFERROR(INDEX('Mr Sandeep Kumar'!O:O,MATCH($B143,'Mr Sandeep Kumar'!$B:$B,0)),IFERROR(INDEX('Mr Manu Vikraman'!O:O,MATCH($B143,'Mr Manu Vikraman'!$B:$B,0)),""))</f>
        <v/>
      </c>
      <c r="P143" s="128" t="str">
        <f t="array" ref="P143">IFERROR(INDEX('Mr Sandeep Kumar'!P:P,MATCH($B143,'Mr Sandeep Kumar'!$B:$B,0)),IFERROR(INDEX('Mr Manu Vikraman'!P:P,MATCH($B143,'Mr Manu Vikraman'!$B:$B,0)),""))</f>
        <v/>
      </c>
      <c r="Q143" s="129">
        <f t="shared" si="1"/>
        <v>0</v>
      </c>
      <c r="R143" s="130">
        <f t="shared" si="2"/>
        <v>0</v>
      </c>
      <c r="S143" s="131" t="str">
        <f t="shared" si="3"/>
        <v>D</v>
      </c>
      <c r="T143" s="131" t="str">
        <f t="shared" si="4"/>
        <v>Not Started</v>
      </c>
      <c r="U143" s="132"/>
    </row>
    <row r="144" ht="21.75" customHeight="1">
      <c r="A144" s="125">
        <v>138.0</v>
      </c>
      <c r="B144" s="135" t="s">
        <v>597</v>
      </c>
      <c r="C144" s="134" t="s">
        <v>598</v>
      </c>
      <c r="D144" s="134" t="s">
        <v>599</v>
      </c>
      <c r="E144" s="126"/>
      <c r="F144" s="127"/>
      <c r="G144" s="128" t="str">
        <f t="array" ref="G144">IFERROR(INDEX('Mr Sandeep Kumar'!G:G,MATCH($B144,'Mr Sandeep Kumar'!$B:$B,0)),IFERROR(INDEX('Mr Manu Vikraman'!G:G,MATCH($B144,'Mr Manu Vikraman'!$B:$B,0)),""))</f>
        <v/>
      </c>
      <c r="H144" s="128" t="str">
        <f t="array" ref="H144">IFERROR(INDEX('Mr Sandeep Kumar'!H:H,MATCH($B144,'Mr Sandeep Kumar'!$B:$B,0)),IFERROR(INDEX('Mr Manu Vikraman'!H:H,MATCH($B144,'Mr Manu Vikraman'!$B:$B,0)),""))</f>
        <v/>
      </c>
      <c r="I144" s="128" t="str">
        <f t="array" ref="I144">IFERROR(INDEX('Mr Sandeep Kumar'!I:I,MATCH($B144,'Mr Sandeep Kumar'!$B:$B,0)),IFERROR(INDEX('Mr Manu Vikraman'!I:I,MATCH($B144,'Mr Manu Vikraman'!$B:$B,0)),""))</f>
        <v/>
      </c>
      <c r="J144" s="128" t="str">
        <f t="array" ref="J144">IFERROR(INDEX('Mr Sandeep Kumar'!J:J,MATCH($B144,'Mr Sandeep Kumar'!$B:$B,0)),IFERROR(INDEX('Mr Manu Vikraman'!J:J,MATCH($B144,'Mr Manu Vikraman'!$B:$B,0)),""))</f>
        <v/>
      </c>
      <c r="K144" s="128" t="str">
        <f t="array" ref="K144">IFERROR(INDEX('Mr Sandeep Kumar'!K:K,MATCH($B144,'Mr Sandeep Kumar'!$B:$B,0)),IFERROR(INDEX('Mr Manu Vikraman'!K:K,MATCH($B144,'Mr Manu Vikraman'!$B:$B,0)),""))</f>
        <v/>
      </c>
      <c r="L144" s="128" t="str">
        <f t="array" ref="L144">IFERROR(INDEX('Mr Sandeep Kumar'!L:L,MATCH($B144,'Mr Sandeep Kumar'!$B:$B,0)),IFERROR(INDEX('Mr Manu Vikraman'!L:L,MATCH($B144,'Mr Manu Vikraman'!$B:$B,0)),""))</f>
        <v/>
      </c>
      <c r="M144" s="128" t="str">
        <f t="array" ref="M144">IFERROR(INDEX('Mr Sandeep Kumar'!M:M,MATCH($B144,'Mr Sandeep Kumar'!$B:$B,0)),IFERROR(INDEX('Mr Manu Vikraman'!M:M,MATCH($B144,'Mr Manu Vikraman'!$B:$B,0)),""))</f>
        <v/>
      </c>
      <c r="N144" s="128" t="str">
        <f t="array" ref="N144">IFERROR(INDEX('Mr Sandeep Kumar'!N:N,MATCH($B144,'Mr Sandeep Kumar'!$B:$B,0)),IFERROR(INDEX('Mr Manu Vikraman'!N:N,MATCH($B144,'Mr Manu Vikraman'!$B:$B,0)),""))</f>
        <v/>
      </c>
      <c r="O144" s="128" t="str">
        <f t="array" ref="O144">IFERROR(INDEX('Mr Sandeep Kumar'!O:O,MATCH($B144,'Mr Sandeep Kumar'!$B:$B,0)),IFERROR(INDEX('Mr Manu Vikraman'!O:O,MATCH($B144,'Mr Manu Vikraman'!$B:$B,0)),""))</f>
        <v/>
      </c>
      <c r="P144" s="128" t="str">
        <f t="array" ref="P144">IFERROR(INDEX('Mr Sandeep Kumar'!P:P,MATCH($B144,'Mr Sandeep Kumar'!$B:$B,0)),IFERROR(INDEX('Mr Manu Vikraman'!P:P,MATCH($B144,'Mr Manu Vikraman'!$B:$B,0)),""))</f>
        <v/>
      </c>
      <c r="Q144" s="129">
        <f t="shared" si="1"/>
        <v>0</v>
      </c>
      <c r="R144" s="130">
        <f t="shared" si="2"/>
        <v>0</v>
      </c>
      <c r="S144" s="131" t="str">
        <f t="shared" si="3"/>
        <v>D</v>
      </c>
      <c r="T144" s="131" t="str">
        <f t="shared" si="4"/>
        <v>Not Started</v>
      </c>
      <c r="U144" s="132"/>
    </row>
    <row r="145" ht="21.75" customHeight="1">
      <c r="A145" s="125">
        <v>139.0</v>
      </c>
      <c r="B145" s="135" t="s">
        <v>600</v>
      </c>
      <c r="C145" s="134" t="s">
        <v>601</v>
      </c>
      <c r="D145" s="134" t="s">
        <v>602</v>
      </c>
      <c r="E145" s="126"/>
      <c r="F145" s="127"/>
      <c r="G145" s="128" t="str">
        <f t="array" ref="G145">IFERROR(INDEX('Mr Sandeep Kumar'!G:G,MATCH($B145,'Mr Sandeep Kumar'!$B:$B,0)),IFERROR(INDEX('Mr Manu Vikraman'!G:G,MATCH($B145,'Mr Manu Vikraman'!$B:$B,0)),""))</f>
        <v/>
      </c>
      <c r="H145" s="128" t="str">
        <f t="array" ref="H145">IFERROR(INDEX('Mr Sandeep Kumar'!H:H,MATCH($B145,'Mr Sandeep Kumar'!$B:$B,0)),IFERROR(INDEX('Mr Manu Vikraman'!H:H,MATCH($B145,'Mr Manu Vikraman'!$B:$B,0)),""))</f>
        <v/>
      </c>
      <c r="I145" s="128" t="str">
        <f t="array" ref="I145">IFERROR(INDEX('Mr Sandeep Kumar'!I:I,MATCH($B145,'Mr Sandeep Kumar'!$B:$B,0)),IFERROR(INDEX('Mr Manu Vikraman'!I:I,MATCH($B145,'Mr Manu Vikraman'!$B:$B,0)),""))</f>
        <v/>
      </c>
      <c r="J145" s="128" t="str">
        <f t="array" ref="J145">IFERROR(INDEX('Mr Sandeep Kumar'!J:J,MATCH($B145,'Mr Sandeep Kumar'!$B:$B,0)),IFERROR(INDEX('Mr Manu Vikraman'!J:J,MATCH($B145,'Mr Manu Vikraman'!$B:$B,0)),""))</f>
        <v/>
      </c>
      <c r="K145" s="128" t="str">
        <f t="array" ref="K145">IFERROR(INDEX('Mr Sandeep Kumar'!K:K,MATCH($B145,'Mr Sandeep Kumar'!$B:$B,0)),IFERROR(INDEX('Mr Manu Vikraman'!K:K,MATCH($B145,'Mr Manu Vikraman'!$B:$B,0)),""))</f>
        <v/>
      </c>
      <c r="L145" s="128" t="str">
        <f t="array" ref="L145">IFERROR(INDEX('Mr Sandeep Kumar'!L:L,MATCH($B145,'Mr Sandeep Kumar'!$B:$B,0)),IFERROR(INDEX('Mr Manu Vikraman'!L:L,MATCH($B145,'Mr Manu Vikraman'!$B:$B,0)),""))</f>
        <v/>
      </c>
      <c r="M145" s="128" t="str">
        <f t="array" ref="M145">IFERROR(INDEX('Mr Sandeep Kumar'!M:M,MATCH($B145,'Mr Sandeep Kumar'!$B:$B,0)),IFERROR(INDEX('Mr Manu Vikraman'!M:M,MATCH($B145,'Mr Manu Vikraman'!$B:$B,0)),""))</f>
        <v/>
      </c>
      <c r="N145" s="128" t="str">
        <f t="array" ref="N145">IFERROR(INDEX('Mr Sandeep Kumar'!N:N,MATCH($B145,'Mr Sandeep Kumar'!$B:$B,0)),IFERROR(INDEX('Mr Manu Vikraman'!N:N,MATCH($B145,'Mr Manu Vikraman'!$B:$B,0)),""))</f>
        <v/>
      </c>
      <c r="O145" s="128" t="str">
        <f t="array" ref="O145">IFERROR(INDEX('Mr Sandeep Kumar'!O:O,MATCH($B145,'Mr Sandeep Kumar'!$B:$B,0)),IFERROR(INDEX('Mr Manu Vikraman'!O:O,MATCH($B145,'Mr Manu Vikraman'!$B:$B,0)),""))</f>
        <v/>
      </c>
      <c r="P145" s="128" t="str">
        <f t="array" ref="P145">IFERROR(INDEX('Mr Sandeep Kumar'!P:P,MATCH($B145,'Mr Sandeep Kumar'!$B:$B,0)),IFERROR(INDEX('Mr Manu Vikraman'!P:P,MATCH($B145,'Mr Manu Vikraman'!$B:$B,0)),""))</f>
        <v/>
      </c>
      <c r="Q145" s="129">
        <f t="shared" si="1"/>
        <v>0</v>
      </c>
      <c r="R145" s="130">
        <f t="shared" si="2"/>
        <v>0</v>
      </c>
      <c r="S145" s="131" t="str">
        <f t="shared" si="3"/>
        <v>D</v>
      </c>
      <c r="T145" s="131" t="str">
        <f t="shared" si="4"/>
        <v>Not Started</v>
      </c>
      <c r="U145" s="132"/>
    </row>
    <row r="146" ht="21.75" customHeight="1">
      <c r="A146" s="125">
        <v>140.0</v>
      </c>
      <c r="B146" s="135" t="s">
        <v>603</v>
      </c>
      <c r="C146" s="134" t="s">
        <v>604</v>
      </c>
      <c r="D146" s="134" t="s">
        <v>605</v>
      </c>
      <c r="E146" s="126"/>
      <c r="F146" s="127"/>
      <c r="G146" s="128" t="str">
        <f t="array" ref="G146">IFERROR(INDEX('Mr Sandeep Kumar'!G:G,MATCH($B146,'Mr Sandeep Kumar'!$B:$B,0)),IFERROR(INDEX('Mr Manu Vikraman'!G:G,MATCH($B146,'Mr Manu Vikraman'!$B:$B,0)),""))</f>
        <v/>
      </c>
      <c r="H146" s="128" t="str">
        <f t="array" ref="H146">IFERROR(INDEX('Mr Sandeep Kumar'!H:H,MATCH($B146,'Mr Sandeep Kumar'!$B:$B,0)),IFERROR(INDEX('Mr Manu Vikraman'!H:H,MATCH($B146,'Mr Manu Vikraman'!$B:$B,0)),""))</f>
        <v/>
      </c>
      <c r="I146" s="128" t="str">
        <f t="array" ref="I146">IFERROR(INDEX('Mr Sandeep Kumar'!I:I,MATCH($B146,'Mr Sandeep Kumar'!$B:$B,0)),IFERROR(INDEX('Mr Manu Vikraman'!I:I,MATCH($B146,'Mr Manu Vikraman'!$B:$B,0)),""))</f>
        <v/>
      </c>
      <c r="J146" s="128" t="str">
        <f t="array" ref="J146">IFERROR(INDEX('Mr Sandeep Kumar'!J:J,MATCH($B146,'Mr Sandeep Kumar'!$B:$B,0)),IFERROR(INDEX('Mr Manu Vikraman'!J:J,MATCH($B146,'Mr Manu Vikraman'!$B:$B,0)),""))</f>
        <v/>
      </c>
      <c r="K146" s="128" t="str">
        <f t="array" ref="K146">IFERROR(INDEX('Mr Sandeep Kumar'!K:K,MATCH($B146,'Mr Sandeep Kumar'!$B:$B,0)),IFERROR(INDEX('Mr Manu Vikraman'!K:K,MATCH($B146,'Mr Manu Vikraman'!$B:$B,0)),""))</f>
        <v/>
      </c>
      <c r="L146" s="128" t="str">
        <f t="array" ref="L146">IFERROR(INDEX('Mr Sandeep Kumar'!L:L,MATCH($B146,'Mr Sandeep Kumar'!$B:$B,0)),IFERROR(INDEX('Mr Manu Vikraman'!L:L,MATCH($B146,'Mr Manu Vikraman'!$B:$B,0)),""))</f>
        <v/>
      </c>
      <c r="M146" s="128" t="str">
        <f t="array" ref="M146">IFERROR(INDEX('Mr Sandeep Kumar'!M:M,MATCH($B146,'Mr Sandeep Kumar'!$B:$B,0)),IFERROR(INDEX('Mr Manu Vikraman'!M:M,MATCH($B146,'Mr Manu Vikraman'!$B:$B,0)),""))</f>
        <v/>
      </c>
      <c r="N146" s="128" t="str">
        <f t="array" ref="N146">IFERROR(INDEX('Mr Sandeep Kumar'!N:N,MATCH($B146,'Mr Sandeep Kumar'!$B:$B,0)),IFERROR(INDEX('Mr Manu Vikraman'!N:N,MATCH($B146,'Mr Manu Vikraman'!$B:$B,0)),""))</f>
        <v/>
      </c>
      <c r="O146" s="128" t="str">
        <f t="array" ref="O146">IFERROR(INDEX('Mr Sandeep Kumar'!O:O,MATCH($B146,'Mr Sandeep Kumar'!$B:$B,0)),IFERROR(INDEX('Mr Manu Vikraman'!O:O,MATCH($B146,'Mr Manu Vikraman'!$B:$B,0)),""))</f>
        <v/>
      </c>
      <c r="P146" s="128" t="str">
        <f t="array" ref="P146">IFERROR(INDEX('Mr Sandeep Kumar'!P:P,MATCH($B146,'Mr Sandeep Kumar'!$B:$B,0)),IFERROR(INDEX('Mr Manu Vikraman'!P:P,MATCH($B146,'Mr Manu Vikraman'!$B:$B,0)),""))</f>
        <v/>
      </c>
      <c r="Q146" s="129">
        <f t="shared" si="1"/>
        <v>0</v>
      </c>
      <c r="R146" s="130">
        <f t="shared" si="2"/>
        <v>0</v>
      </c>
      <c r="S146" s="131" t="str">
        <f t="shared" si="3"/>
        <v>D</v>
      </c>
      <c r="T146" s="131" t="str">
        <f t="shared" si="4"/>
        <v>Not Started</v>
      </c>
      <c r="U146" s="132"/>
    </row>
    <row r="147" ht="21.75" customHeight="1">
      <c r="A147" s="125">
        <v>141.0</v>
      </c>
      <c r="B147" s="135" t="s">
        <v>606</v>
      </c>
      <c r="C147" s="134" t="s">
        <v>607</v>
      </c>
      <c r="D147" s="134" t="s">
        <v>608</v>
      </c>
      <c r="E147" s="126"/>
      <c r="F147" s="127"/>
      <c r="G147" s="128" t="str">
        <f t="array" ref="G147">IFERROR(INDEX('Mr Sandeep Kumar'!G:G,MATCH($B147,'Mr Sandeep Kumar'!$B:$B,0)),IFERROR(INDEX('Mr Manu Vikraman'!G:G,MATCH($B147,'Mr Manu Vikraman'!$B:$B,0)),""))</f>
        <v/>
      </c>
      <c r="H147" s="128" t="str">
        <f t="array" ref="H147">IFERROR(INDEX('Mr Sandeep Kumar'!H:H,MATCH($B147,'Mr Sandeep Kumar'!$B:$B,0)),IFERROR(INDEX('Mr Manu Vikraman'!H:H,MATCH($B147,'Mr Manu Vikraman'!$B:$B,0)),""))</f>
        <v/>
      </c>
      <c r="I147" s="128" t="str">
        <f t="array" ref="I147">IFERROR(INDEX('Mr Sandeep Kumar'!I:I,MATCH($B147,'Mr Sandeep Kumar'!$B:$B,0)),IFERROR(INDEX('Mr Manu Vikraman'!I:I,MATCH($B147,'Mr Manu Vikraman'!$B:$B,0)),""))</f>
        <v/>
      </c>
      <c r="J147" s="128" t="str">
        <f t="array" ref="J147">IFERROR(INDEX('Mr Sandeep Kumar'!J:J,MATCH($B147,'Mr Sandeep Kumar'!$B:$B,0)),IFERROR(INDEX('Mr Manu Vikraman'!J:J,MATCH($B147,'Mr Manu Vikraman'!$B:$B,0)),""))</f>
        <v/>
      </c>
      <c r="K147" s="128" t="str">
        <f t="array" ref="K147">IFERROR(INDEX('Mr Sandeep Kumar'!K:K,MATCH($B147,'Mr Sandeep Kumar'!$B:$B,0)),IFERROR(INDEX('Mr Manu Vikraman'!K:K,MATCH($B147,'Mr Manu Vikraman'!$B:$B,0)),""))</f>
        <v/>
      </c>
      <c r="L147" s="128" t="str">
        <f t="array" ref="L147">IFERROR(INDEX('Mr Sandeep Kumar'!L:L,MATCH($B147,'Mr Sandeep Kumar'!$B:$B,0)),IFERROR(INDEX('Mr Manu Vikraman'!L:L,MATCH($B147,'Mr Manu Vikraman'!$B:$B,0)),""))</f>
        <v/>
      </c>
      <c r="M147" s="128" t="str">
        <f t="array" ref="M147">IFERROR(INDEX('Mr Sandeep Kumar'!M:M,MATCH($B147,'Mr Sandeep Kumar'!$B:$B,0)),IFERROR(INDEX('Mr Manu Vikraman'!M:M,MATCH($B147,'Mr Manu Vikraman'!$B:$B,0)),""))</f>
        <v/>
      </c>
      <c r="N147" s="128" t="str">
        <f t="array" ref="N147">IFERROR(INDEX('Mr Sandeep Kumar'!N:N,MATCH($B147,'Mr Sandeep Kumar'!$B:$B,0)),IFERROR(INDEX('Mr Manu Vikraman'!N:N,MATCH($B147,'Mr Manu Vikraman'!$B:$B,0)),""))</f>
        <v/>
      </c>
      <c r="O147" s="128" t="str">
        <f t="array" ref="O147">IFERROR(INDEX('Mr Sandeep Kumar'!O:O,MATCH($B147,'Mr Sandeep Kumar'!$B:$B,0)),IFERROR(INDEX('Mr Manu Vikraman'!O:O,MATCH($B147,'Mr Manu Vikraman'!$B:$B,0)),""))</f>
        <v/>
      </c>
      <c r="P147" s="128" t="str">
        <f t="array" ref="P147">IFERROR(INDEX('Mr Sandeep Kumar'!P:P,MATCH($B147,'Mr Sandeep Kumar'!$B:$B,0)),IFERROR(INDEX('Mr Manu Vikraman'!P:P,MATCH($B147,'Mr Manu Vikraman'!$B:$B,0)),""))</f>
        <v/>
      </c>
      <c r="Q147" s="129">
        <f t="shared" si="1"/>
        <v>0</v>
      </c>
      <c r="R147" s="130">
        <f t="shared" si="2"/>
        <v>0</v>
      </c>
      <c r="S147" s="131" t="str">
        <f t="shared" si="3"/>
        <v>D</v>
      </c>
      <c r="T147" s="131" t="str">
        <f t="shared" si="4"/>
        <v>Not Started</v>
      </c>
      <c r="U147" s="132"/>
    </row>
    <row r="148" ht="21.75" customHeight="1">
      <c r="A148" s="125">
        <v>142.0</v>
      </c>
      <c r="B148" s="135" t="s">
        <v>609</v>
      </c>
      <c r="C148" s="134" t="s">
        <v>610</v>
      </c>
      <c r="D148" s="134" t="s">
        <v>611</v>
      </c>
      <c r="E148" s="126"/>
      <c r="F148" s="127"/>
      <c r="G148" s="128" t="str">
        <f t="array" ref="G148">IFERROR(INDEX('Mr Sandeep Kumar'!G:G,MATCH($B148,'Mr Sandeep Kumar'!$B:$B,0)),IFERROR(INDEX('Mr Manu Vikraman'!G:G,MATCH($B148,'Mr Manu Vikraman'!$B:$B,0)),""))</f>
        <v/>
      </c>
      <c r="H148" s="128" t="str">
        <f t="array" ref="H148">IFERROR(INDEX('Mr Sandeep Kumar'!H:H,MATCH($B148,'Mr Sandeep Kumar'!$B:$B,0)),IFERROR(INDEX('Mr Manu Vikraman'!H:H,MATCH($B148,'Mr Manu Vikraman'!$B:$B,0)),""))</f>
        <v/>
      </c>
      <c r="I148" s="128" t="str">
        <f t="array" ref="I148">IFERROR(INDEX('Mr Sandeep Kumar'!I:I,MATCH($B148,'Mr Sandeep Kumar'!$B:$B,0)),IFERROR(INDEX('Mr Manu Vikraman'!I:I,MATCH($B148,'Mr Manu Vikraman'!$B:$B,0)),""))</f>
        <v/>
      </c>
      <c r="J148" s="128" t="str">
        <f t="array" ref="J148">IFERROR(INDEX('Mr Sandeep Kumar'!J:J,MATCH($B148,'Mr Sandeep Kumar'!$B:$B,0)),IFERROR(INDEX('Mr Manu Vikraman'!J:J,MATCH($B148,'Mr Manu Vikraman'!$B:$B,0)),""))</f>
        <v/>
      </c>
      <c r="K148" s="128" t="str">
        <f t="array" ref="K148">IFERROR(INDEX('Mr Sandeep Kumar'!K:K,MATCH($B148,'Mr Sandeep Kumar'!$B:$B,0)),IFERROR(INDEX('Mr Manu Vikraman'!K:K,MATCH($B148,'Mr Manu Vikraman'!$B:$B,0)),""))</f>
        <v/>
      </c>
      <c r="L148" s="128" t="str">
        <f t="array" ref="L148">IFERROR(INDEX('Mr Sandeep Kumar'!L:L,MATCH($B148,'Mr Sandeep Kumar'!$B:$B,0)),IFERROR(INDEX('Mr Manu Vikraman'!L:L,MATCH($B148,'Mr Manu Vikraman'!$B:$B,0)),""))</f>
        <v/>
      </c>
      <c r="M148" s="128" t="str">
        <f t="array" ref="M148">IFERROR(INDEX('Mr Sandeep Kumar'!M:M,MATCH($B148,'Mr Sandeep Kumar'!$B:$B,0)),IFERROR(INDEX('Mr Manu Vikraman'!M:M,MATCH($B148,'Mr Manu Vikraman'!$B:$B,0)),""))</f>
        <v/>
      </c>
      <c r="N148" s="128" t="str">
        <f t="array" ref="N148">IFERROR(INDEX('Mr Sandeep Kumar'!N:N,MATCH($B148,'Mr Sandeep Kumar'!$B:$B,0)),IFERROR(INDEX('Mr Manu Vikraman'!N:N,MATCH($B148,'Mr Manu Vikraman'!$B:$B,0)),""))</f>
        <v/>
      </c>
      <c r="O148" s="128" t="str">
        <f t="array" ref="O148">IFERROR(INDEX('Mr Sandeep Kumar'!O:O,MATCH($B148,'Mr Sandeep Kumar'!$B:$B,0)),IFERROR(INDEX('Mr Manu Vikraman'!O:O,MATCH($B148,'Mr Manu Vikraman'!$B:$B,0)),""))</f>
        <v/>
      </c>
      <c r="P148" s="128" t="str">
        <f t="array" ref="P148">IFERROR(INDEX('Mr Sandeep Kumar'!P:P,MATCH($B148,'Mr Sandeep Kumar'!$B:$B,0)),IFERROR(INDEX('Mr Manu Vikraman'!P:P,MATCH($B148,'Mr Manu Vikraman'!$B:$B,0)),""))</f>
        <v/>
      </c>
      <c r="Q148" s="129">
        <f t="shared" si="1"/>
        <v>0</v>
      </c>
      <c r="R148" s="130">
        <f t="shared" si="2"/>
        <v>0</v>
      </c>
      <c r="S148" s="131" t="str">
        <f t="shared" si="3"/>
        <v>D</v>
      </c>
      <c r="T148" s="131" t="str">
        <f t="shared" si="4"/>
        <v>Not Started</v>
      </c>
      <c r="U148" s="132"/>
    </row>
    <row r="149" ht="21.75" customHeight="1">
      <c r="A149" s="125">
        <v>143.0</v>
      </c>
      <c r="B149" s="135" t="s">
        <v>612</v>
      </c>
      <c r="C149" s="134" t="s">
        <v>613</v>
      </c>
      <c r="D149" s="134" t="s">
        <v>614</v>
      </c>
      <c r="E149" s="126"/>
      <c r="F149" s="127"/>
      <c r="G149" s="128" t="str">
        <f t="array" ref="G149">IFERROR(INDEX('Mr Sandeep Kumar'!G:G,MATCH($B149,'Mr Sandeep Kumar'!$B:$B,0)),IFERROR(INDEX('Mr Manu Vikraman'!G:G,MATCH($B149,'Mr Manu Vikraman'!$B:$B,0)),""))</f>
        <v/>
      </c>
      <c r="H149" s="128" t="str">
        <f t="array" ref="H149">IFERROR(INDEX('Mr Sandeep Kumar'!H:H,MATCH($B149,'Mr Sandeep Kumar'!$B:$B,0)),IFERROR(INDEX('Mr Manu Vikraman'!H:H,MATCH($B149,'Mr Manu Vikraman'!$B:$B,0)),""))</f>
        <v/>
      </c>
      <c r="I149" s="128" t="str">
        <f t="array" ref="I149">IFERROR(INDEX('Mr Sandeep Kumar'!I:I,MATCH($B149,'Mr Sandeep Kumar'!$B:$B,0)),IFERROR(INDEX('Mr Manu Vikraman'!I:I,MATCH($B149,'Mr Manu Vikraman'!$B:$B,0)),""))</f>
        <v/>
      </c>
      <c r="J149" s="128" t="str">
        <f t="array" ref="J149">IFERROR(INDEX('Mr Sandeep Kumar'!J:J,MATCH($B149,'Mr Sandeep Kumar'!$B:$B,0)),IFERROR(INDEX('Mr Manu Vikraman'!J:J,MATCH($B149,'Mr Manu Vikraman'!$B:$B,0)),""))</f>
        <v/>
      </c>
      <c r="K149" s="128" t="str">
        <f t="array" ref="K149">IFERROR(INDEX('Mr Sandeep Kumar'!K:K,MATCH($B149,'Mr Sandeep Kumar'!$B:$B,0)),IFERROR(INDEX('Mr Manu Vikraman'!K:K,MATCH($B149,'Mr Manu Vikraman'!$B:$B,0)),""))</f>
        <v/>
      </c>
      <c r="L149" s="128" t="str">
        <f t="array" ref="L149">IFERROR(INDEX('Mr Sandeep Kumar'!L:L,MATCH($B149,'Mr Sandeep Kumar'!$B:$B,0)),IFERROR(INDEX('Mr Manu Vikraman'!L:L,MATCH($B149,'Mr Manu Vikraman'!$B:$B,0)),""))</f>
        <v/>
      </c>
      <c r="M149" s="128" t="str">
        <f t="array" ref="M149">IFERROR(INDEX('Mr Sandeep Kumar'!M:M,MATCH($B149,'Mr Sandeep Kumar'!$B:$B,0)),IFERROR(INDEX('Mr Manu Vikraman'!M:M,MATCH($B149,'Mr Manu Vikraman'!$B:$B,0)),""))</f>
        <v/>
      </c>
      <c r="N149" s="128" t="str">
        <f t="array" ref="N149">IFERROR(INDEX('Mr Sandeep Kumar'!N:N,MATCH($B149,'Mr Sandeep Kumar'!$B:$B,0)),IFERROR(INDEX('Mr Manu Vikraman'!N:N,MATCH($B149,'Mr Manu Vikraman'!$B:$B,0)),""))</f>
        <v/>
      </c>
      <c r="O149" s="128" t="str">
        <f t="array" ref="O149">IFERROR(INDEX('Mr Sandeep Kumar'!O:O,MATCH($B149,'Mr Sandeep Kumar'!$B:$B,0)),IFERROR(INDEX('Mr Manu Vikraman'!O:O,MATCH($B149,'Mr Manu Vikraman'!$B:$B,0)),""))</f>
        <v/>
      </c>
      <c r="P149" s="128" t="str">
        <f t="array" ref="P149">IFERROR(INDEX('Mr Sandeep Kumar'!P:P,MATCH($B149,'Mr Sandeep Kumar'!$B:$B,0)),IFERROR(INDEX('Mr Manu Vikraman'!P:P,MATCH($B149,'Mr Manu Vikraman'!$B:$B,0)),""))</f>
        <v/>
      </c>
      <c r="Q149" s="129">
        <f t="shared" si="1"/>
        <v>0</v>
      </c>
      <c r="R149" s="130">
        <f t="shared" si="2"/>
        <v>0</v>
      </c>
      <c r="S149" s="131" t="str">
        <f t="shared" si="3"/>
        <v>D</v>
      </c>
      <c r="T149" s="131" t="str">
        <f t="shared" si="4"/>
        <v>Not Started</v>
      </c>
      <c r="U149" s="132"/>
    </row>
    <row r="150" ht="21.75" customHeight="1">
      <c r="A150" s="125">
        <v>144.0</v>
      </c>
      <c r="B150" s="135" t="s">
        <v>615</v>
      </c>
      <c r="C150" s="134" t="s">
        <v>616</v>
      </c>
      <c r="D150" s="134" t="s">
        <v>617</v>
      </c>
      <c r="E150" s="126"/>
      <c r="F150" s="127"/>
      <c r="G150" s="128" t="str">
        <f t="array" ref="G150">IFERROR(INDEX('Mr Sandeep Kumar'!G:G,MATCH($B150,'Mr Sandeep Kumar'!$B:$B,0)),IFERROR(INDEX('Mr Manu Vikraman'!G:G,MATCH($B150,'Mr Manu Vikraman'!$B:$B,0)),""))</f>
        <v/>
      </c>
      <c r="H150" s="128" t="str">
        <f t="array" ref="H150">IFERROR(INDEX('Mr Sandeep Kumar'!H:H,MATCH($B150,'Mr Sandeep Kumar'!$B:$B,0)),IFERROR(INDEX('Mr Manu Vikraman'!H:H,MATCH($B150,'Mr Manu Vikraman'!$B:$B,0)),""))</f>
        <v/>
      </c>
      <c r="I150" s="128" t="str">
        <f t="array" ref="I150">IFERROR(INDEX('Mr Sandeep Kumar'!I:I,MATCH($B150,'Mr Sandeep Kumar'!$B:$B,0)),IFERROR(INDEX('Mr Manu Vikraman'!I:I,MATCH($B150,'Mr Manu Vikraman'!$B:$B,0)),""))</f>
        <v/>
      </c>
      <c r="J150" s="128" t="str">
        <f t="array" ref="J150">IFERROR(INDEX('Mr Sandeep Kumar'!J:J,MATCH($B150,'Mr Sandeep Kumar'!$B:$B,0)),IFERROR(INDEX('Mr Manu Vikraman'!J:J,MATCH($B150,'Mr Manu Vikraman'!$B:$B,0)),""))</f>
        <v/>
      </c>
      <c r="K150" s="128" t="str">
        <f t="array" ref="K150">IFERROR(INDEX('Mr Sandeep Kumar'!K:K,MATCH($B150,'Mr Sandeep Kumar'!$B:$B,0)),IFERROR(INDEX('Mr Manu Vikraman'!K:K,MATCH($B150,'Mr Manu Vikraman'!$B:$B,0)),""))</f>
        <v/>
      </c>
      <c r="L150" s="128" t="str">
        <f t="array" ref="L150">IFERROR(INDEX('Mr Sandeep Kumar'!L:L,MATCH($B150,'Mr Sandeep Kumar'!$B:$B,0)),IFERROR(INDEX('Mr Manu Vikraman'!L:L,MATCH($B150,'Mr Manu Vikraman'!$B:$B,0)),""))</f>
        <v/>
      </c>
      <c r="M150" s="128" t="str">
        <f t="array" ref="M150">IFERROR(INDEX('Mr Sandeep Kumar'!M:M,MATCH($B150,'Mr Sandeep Kumar'!$B:$B,0)),IFERROR(INDEX('Mr Manu Vikraman'!M:M,MATCH($B150,'Mr Manu Vikraman'!$B:$B,0)),""))</f>
        <v/>
      </c>
      <c r="N150" s="128" t="str">
        <f t="array" ref="N150">IFERROR(INDEX('Mr Sandeep Kumar'!N:N,MATCH($B150,'Mr Sandeep Kumar'!$B:$B,0)),IFERROR(INDEX('Mr Manu Vikraman'!N:N,MATCH($B150,'Mr Manu Vikraman'!$B:$B,0)),""))</f>
        <v/>
      </c>
      <c r="O150" s="128" t="str">
        <f t="array" ref="O150">IFERROR(INDEX('Mr Sandeep Kumar'!O:O,MATCH($B150,'Mr Sandeep Kumar'!$B:$B,0)),IFERROR(INDEX('Mr Manu Vikraman'!O:O,MATCH($B150,'Mr Manu Vikraman'!$B:$B,0)),""))</f>
        <v/>
      </c>
      <c r="P150" s="128" t="str">
        <f t="array" ref="P150">IFERROR(INDEX('Mr Sandeep Kumar'!P:P,MATCH($B150,'Mr Sandeep Kumar'!$B:$B,0)),IFERROR(INDEX('Mr Manu Vikraman'!P:P,MATCH($B150,'Mr Manu Vikraman'!$B:$B,0)),""))</f>
        <v/>
      </c>
      <c r="Q150" s="129">
        <f t="shared" si="1"/>
        <v>0</v>
      </c>
      <c r="R150" s="130">
        <f t="shared" si="2"/>
        <v>0</v>
      </c>
      <c r="S150" s="131" t="str">
        <f t="shared" si="3"/>
        <v>D</v>
      </c>
      <c r="T150" s="131" t="str">
        <f t="shared" si="4"/>
        <v>Not Started</v>
      </c>
      <c r="U150" s="132"/>
    </row>
    <row r="151" ht="21.75" customHeight="1">
      <c r="A151" s="125">
        <v>145.0</v>
      </c>
      <c r="B151" s="135" t="s">
        <v>618</v>
      </c>
      <c r="C151" s="134" t="s">
        <v>619</v>
      </c>
      <c r="D151" s="134" t="s">
        <v>620</v>
      </c>
      <c r="E151" s="126"/>
      <c r="F151" s="127"/>
      <c r="G151" s="128" t="str">
        <f t="array" ref="G151">IFERROR(INDEX('Mr Sandeep Kumar'!G:G,MATCH($B151,'Mr Sandeep Kumar'!$B:$B,0)),IFERROR(INDEX('Mr Manu Vikraman'!G:G,MATCH($B151,'Mr Manu Vikraman'!$B:$B,0)),""))</f>
        <v/>
      </c>
      <c r="H151" s="128" t="str">
        <f t="array" ref="H151">IFERROR(INDEX('Mr Sandeep Kumar'!H:H,MATCH($B151,'Mr Sandeep Kumar'!$B:$B,0)),IFERROR(INDEX('Mr Manu Vikraman'!H:H,MATCH($B151,'Mr Manu Vikraman'!$B:$B,0)),""))</f>
        <v/>
      </c>
      <c r="I151" s="128" t="str">
        <f t="array" ref="I151">IFERROR(INDEX('Mr Sandeep Kumar'!I:I,MATCH($B151,'Mr Sandeep Kumar'!$B:$B,0)),IFERROR(INDEX('Mr Manu Vikraman'!I:I,MATCH($B151,'Mr Manu Vikraman'!$B:$B,0)),""))</f>
        <v/>
      </c>
      <c r="J151" s="128" t="str">
        <f t="array" ref="J151">IFERROR(INDEX('Mr Sandeep Kumar'!J:J,MATCH($B151,'Mr Sandeep Kumar'!$B:$B,0)),IFERROR(INDEX('Mr Manu Vikraman'!J:J,MATCH($B151,'Mr Manu Vikraman'!$B:$B,0)),""))</f>
        <v/>
      </c>
      <c r="K151" s="128" t="str">
        <f t="array" ref="K151">IFERROR(INDEX('Mr Sandeep Kumar'!K:K,MATCH($B151,'Mr Sandeep Kumar'!$B:$B,0)),IFERROR(INDEX('Mr Manu Vikraman'!K:K,MATCH($B151,'Mr Manu Vikraman'!$B:$B,0)),""))</f>
        <v/>
      </c>
      <c r="L151" s="128" t="str">
        <f t="array" ref="L151">IFERROR(INDEX('Mr Sandeep Kumar'!L:L,MATCH($B151,'Mr Sandeep Kumar'!$B:$B,0)),IFERROR(INDEX('Mr Manu Vikraman'!L:L,MATCH($B151,'Mr Manu Vikraman'!$B:$B,0)),""))</f>
        <v/>
      </c>
      <c r="M151" s="128" t="str">
        <f t="array" ref="M151">IFERROR(INDEX('Mr Sandeep Kumar'!M:M,MATCH($B151,'Mr Sandeep Kumar'!$B:$B,0)),IFERROR(INDEX('Mr Manu Vikraman'!M:M,MATCH($B151,'Mr Manu Vikraman'!$B:$B,0)),""))</f>
        <v/>
      </c>
      <c r="N151" s="128" t="str">
        <f t="array" ref="N151">IFERROR(INDEX('Mr Sandeep Kumar'!N:N,MATCH($B151,'Mr Sandeep Kumar'!$B:$B,0)),IFERROR(INDEX('Mr Manu Vikraman'!N:N,MATCH($B151,'Mr Manu Vikraman'!$B:$B,0)),""))</f>
        <v/>
      </c>
      <c r="O151" s="128" t="str">
        <f t="array" ref="O151">IFERROR(INDEX('Mr Sandeep Kumar'!O:O,MATCH($B151,'Mr Sandeep Kumar'!$B:$B,0)),IFERROR(INDEX('Mr Manu Vikraman'!O:O,MATCH($B151,'Mr Manu Vikraman'!$B:$B,0)),""))</f>
        <v/>
      </c>
      <c r="P151" s="128" t="str">
        <f t="array" ref="P151">IFERROR(INDEX('Mr Sandeep Kumar'!P:P,MATCH($B151,'Mr Sandeep Kumar'!$B:$B,0)),IFERROR(INDEX('Mr Manu Vikraman'!P:P,MATCH($B151,'Mr Manu Vikraman'!$B:$B,0)),""))</f>
        <v/>
      </c>
      <c r="Q151" s="129">
        <f t="shared" si="1"/>
        <v>0</v>
      </c>
      <c r="R151" s="130">
        <f t="shared" si="2"/>
        <v>0</v>
      </c>
      <c r="S151" s="131" t="str">
        <f t="shared" si="3"/>
        <v>D</v>
      </c>
      <c r="T151" s="131" t="str">
        <f t="shared" si="4"/>
        <v>Not Started</v>
      </c>
      <c r="U151" s="132"/>
    </row>
    <row r="152" ht="21.75" customHeight="1">
      <c r="A152" s="136"/>
      <c r="B152" s="126"/>
      <c r="C152" s="126"/>
      <c r="D152" s="126"/>
      <c r="E152" s="126"/>
      <c r="F152" s="127"/>
      <c r="G152" s="128" t="str">
        <f t="array" ref="G152">IFERROR(INDEX('Mr Sandeep Kumar'!G:G,MATCH($B152,'Mr Sandeep Kumar'!$B:$B,0)),IFERROR(INDEX('Mr Manu Vikraman'!G:G,MATCH($B152,'Mr Manu Vikraman'!$B:$B,0)),""))</f>
        <v/>
      </c>
      <c r="H152" s="128" t="str">
        <f t="array" ref="H152">IFERROR(INDEX('Mr Sandeep Kumar'!H:H,MATCH($B152,'Mr Sandeep Kumar'!$B:$B,0)),IFERROR(INDEX('Mr Manu Vikraman'!H:H,MATCH($B152,'Mr Manu Vikraman'!$B:$B,0)),""))</f>
        <v/>
      </c>
      <c r="I152" s="128" t="str">
        <f t="array" ref="I152">IFERROR(INDEX('Mr Sandeep Kumar'!I:I,MATCH($B152,'Mr Sandeep Kumar'!$B:$B,0)),IFERROR(INDEX('Mr Manu Vikraman'!I:I,MATCH($B152,'Mr Manu Vikraman'!$B:$B,0)),""))</f>
        <v/>
      </c>
      <c r="J152" s="128" t="str">
        <f t="array" ref="J152">IFERROR(INDEX('Mr Sandeep Kumar'!J:J,MATCH($B152,'Mr Sandeep Kumar'!$B:$B,0)),IFERROR(INDEX('Mr Manu Vikraman'!J:J,MATCH($B152,'Mr Manu Vikraman'!$B:$B,0)),""))</f>
        <v/>
      </c>
      <c r="K152" s="128" t="str">
        <f t="array" ref="K152">IFERROR(INDEX('Mr Sandeep Kumar'!K:K,MATCH($B152,'Mr Sandeep Kumar'!$B:$B,0)),IFERROR(INDEX('Mr Manu Vikraman'!K:K,MATCH($B152,'Mr Manu Vikraman'!$B:$B,0)),""))</f>
        <v/>
      </c>
      <c r="L152" s="128" t="str">
        <f t="array" ref="L152">IFERROR(INDEX('Mr Sandeep Kumar'!L:L,MATCH($B152,'Mr Sandeep Kumar'!$B:$B,0)),IFERROR(INDEX('Mr Manu Vikraman'!L:L,MATCH($B152,'Mr Manu Vikraman'!$B:$B,0)),""))</f>
        <v/>
      </c>
      <c r="M152" s="128" t="str">
        <f t="array" ref="M152">IFERROR(INDEX('Mr Sandeep Kumar'!M:M,MATCH($B152,'Mr Sandeep Kumar'!$B:$B,0)),IFERROR(INDEX('Mr Manu Vikraman'!M:M,MATCH($B152,'Mr Manu Vikraman'!$B:$B,0)),""))</f>
        <v/>
      </c>
      <c r="N152" s="128" t="str">
        <f t="array" ref="N152">IFERROR(INDEX('Mr Sandeep Kumar'!N:N,MATCH($B152,'Mr Sandeep Kumar'!$B:$B,0)),IFERROR(INDEX('Mr Manu Vikraman'!N:N,MATCH($B152,'Mr Manu Vikraman'!$B:$B,0)),""))</f>
        <v/>
      </c>
      <c r="O152" s="128" t="str">
        <f t="array" ref="O152">IFERROR(INDEX('Mr Sandeep Kumar'!O:O,MATCH($B152,'Mr Sandeep Kumar'!$B:$B,0)),IFERROR(INDEX('Mr Manu Vikraman'!O:O,MATCH($B152,'Mr Manu Vikraman'!$B:$B,0)),""))</f>
        <v/>
      </c>
      <c r="P152" s="128" t="str">
        <f t="array" ref="P152">IFERROR(INDEX('Mr Sandeep Kumar'!P:P,MATCH($B152,'Mr Sandeep Kumar'!$B:$B,0)),IFERROR(INDEX('Mr Manu Vikraman'!P:P,MATCH($B152,'Mr Manu Vikraman'!$B:$B,0)),""))</f>
        <v/>
      </c>
      <c r="Q152" s="129">
        <f t="shared" si="1"/>
        <v>0</v>
      </c>
      <c r="R152" s="130">
        <f t="shared" si="2"/>
        <v>0</v>
      </c>
      <c r="S152" s="131" t="str">
        <f t="shared" si="3"/>
        <v>D</v>
      </c>
      <c r="T152" s="131" t="str">
        <f t="shared" si="4"/>
        <v>Not Started</v>
      </c>
      <c r="U152" s="132"/>
    </row>
    <row r="153" ht="21.75" customHeight="1">
      <c r="A153" s="136"/>
      <c r="B153" s="126"/>
      <c r="C153" s="126"/>
      <c r="D153" s="126"/>
      <c r="E153" s="126"/>
      <c r="F153" s="127"/>
      <c r="G153" s="128" t="str">
        <f t="array" ref="G153">IFERROR(INDEX('Mr Sandeep Kumar'!G:G,MATCH($B153,'Mr Sandeep Kumar'!$B:$B,0)),IFERROR(INDEX('Mr Manu Vikraman'!G:G,MATCH($B153,'Mr Manu Vikraman'!$B:$B,0)),""))</f>
        <v/>
      </c>
      <c r="H153" s="128" t="str">
        <f t="array" ref="H153">IFERROR(INDEX('Mr Sandeep Kumar'!H:H,MATCH($B153,'Mr Sandeep Kumar'!$B:$B,0)),IFERROR(INDEX('Mr Manu Vikraman'!H:H,MATCH($B153,'Mr Manu Vikraman'!$B:$B,0)),""))</f>
        <v/>
      </c>
      <c r="I153" s="128" t="str">
        <f t="array" ref="I153">IFERROR(INDEX('Mr Sandeep Kumar'!I:I,MATCH($B153,'Mr Sandeep Kumar'!$B:$B,0)),IFERROR(INDEX('Mr Manu Vikraman'!I:I,MATCH($B153,'Mr Manu Vikraman'!$B:$B,0)),""))</f>
        <v/>
      </c>
      <c r="J153" s="128" t="str">
        <f t="array" ref="J153">IFERROR(INDEX('Mr Sandeep Kumar'!J:J,MATCH($B153,'Mr Sandeep Kumar'!$B:$B,0)),IFERROR(INDEX('Mr Manu Vikraman'!J:J,MATCH($B153,'Mr Manu Vikraman'!$B:$B,0)),""))</f>
        <v/>
      </c>
      <c r="K153" s="128" t="str">
        <f t="array" ref="K153">IFERROR(INDEX('Mr Sandeep Kumar'!K:K,MATCH($B153,'Mr Sandeep Kumar'!$B:$B,0)),IFERROR(INDEX('Mr Manu Vikraman'!K:K,MATCH($B153,'Mr Manu Vikraman'!$B:$B,0)),""))</f>
        <v/>
      </c>
      <c r="L153" s="128" t="str">
        <f t="array" ref="L153">IFERROR(INDEX('Mr Sandeep Kumar'!L:L,MATCH($B153,'Mr Sandeep Kumar'!$B:$B,0)),IFERROR(INDEX('Mr Manu Vikraman'!L:L,MATCH($B153,'Mr Manu Vikraman'!$B:$B,0)),""))</f>
        <v/>
      </c>
      <c r="M153" s="128" t="str">
        <f t="array" ref="M153">IFERROR(INDEX('Mr Sandeep Kumar'!M:M,MATCH($B153,'Mr Sandeep Kumar'!$B:$B,0)),IFERROR(INDEX('Mr Manu Vikraman'!M:M,MATCH($B153,'Mr Manu Vikraman'!$B:$B,0)),""))</f>
        <v/>
      </c>
      <c r="N153" s="128" t="str">
        <f t="array" ref="N153">IFERROR(INDEX('Mr Sandeep Kumar'!N:N,MATCH($B153,'Mr Sandeep Kumar'!$B:$B,0)),IFERROR(INDEX('Mr Manu Vikraman'!N:N,MATCH($B153,'Mr Manu Vikraman'!$B:$B,0)),""))</f>
        <v/>
      </c>
      <c r="O153" s="128" t="str">
        <f t="array" ref="O153">IFERROR(INDEX('Mr Sandeep Kumar'!O:O,MATCH($B153,'Mr Sandeep Kumar'!$B:$B,0)),IFERROR(INDEX('Mr Manu Vikraman'!O:O,MATCH($B153,'Mr Manu Vikraman'!$B:$B,0)),""))</f>
        <v/>
      </c>
      <c r="P153" s="128" t="str">
        <f t="array" ref="P153">IFERROR(INDEX('Mr Sandeep Kumar'!P:P,MATCH($B153,'Mr Sandeep Kumar'!$B:$B,0)),IFERROR(INDEX('Mr Manu Vikraman'!P:P,MATCH($B153,'Mr Manu Vikraman'!$B:$B,0)),""))</f>
        <v/>
      </c>
      <c r="Q153" s="129">
        <f t="shared" si="1"/>
        <v>0</v>
      </c>
      <c r="R153" s="130">
        <f t="shared" si="2"/>
        <v>0</v>
      </c>
      <c r="S153" s="131" t="str">
        <f t="shared" si="3"/>
        <v>D</v>
      </c>
      <c r="T153" s="131" t="str">
        <f t="shared" si="4"/>
        <v>Not Started</v>
      </c>
      <c r="U153" s="132"/>
    </row>
    <row r="154" ht="21.75" customHeight="1">
      <c r="A154" s="136"/>
      <c r="B154" s="126"/>
      <c r="C154" s="126"/>
      <c r="D154" s="126"/>
      <c r="E154" s="126"/>
      <c r="F154" s="127"/>
      <c r="G154" s="128" t="str">
        <f t="array" ref="G154">IFERROR(INDEX('Mr Sandeep Kumar'!G:G,MATCH($B154,'Mr Sandeep Kumar'!$B:$B,0)),IFERROR(INDEX('Mr Manu Vikraman'!G:G,MATCH($B154,'Mr Manu Vikraman'!$B:$B,0)),""))</f>
        <v/>
      </c>
      <c r="H154" s="128" t="str">
        <f t="array" ref="H154">IFERROR(INDEX('Mr Sandeep Kumar'!H:H,MATCH($B154,'Mr Sandeep Kumar'!$B:$B,0)),IFERROR(INDEX('Mr Manu Vikraman'!H:H,MATCH($B154,'Mr Manu Vikraman'!$B:$B,0)),""))</f>
        <v/>
      </c>
      <c r="I154" s="128" t="str">
        <f t="array" ref="I154">IFERROR(INDEX('Mr Sandeep Kumar'!I:I,MATCH($B154,'Mr Sandeep Kumar'!$B:$B,0)),IFERROR(INDEX('Mr Manu Vikraman'!I:I,MATCH($B154,'Mr Manu Vikraman'!$B:$B,0)),""))</f>
        <v/>
      </c>
      <c r="J154" s="128" t="str">
        <f t="array" ref="J154">IFERROR(INDEX('Mr Sandeep Kumar'!J:J,MATCH($B154,'Mr Sandeep Kumar'!$B:$B,0)),IFERROR(INDEX('Mr Manu Vikraman'!J:J,MATCH($B154,'Mr Manu Vikraman'!$B:$B,0)),""))</f>
        <v/>
      </c>
      <c r="K154" s="128" t="str">
        <f t="array" ref="K154">IFERROR(INDEX('Mr Sandeep Kumar'!K:K,MATCH($B154,'Mr Sandeep Kumar'!$B:$B,0)),IFERROR(INDEX('Mr Manu Vikraman'!K:K,MATCH($B154,'Mr Manu Vikraman'!$B:$B,0)),""))</f>
        <v/>
      </c>
      <c r="L154" s="128" t="str">
        <f t="array" ref="L154">IFERROR(INDEX('Mr Sandeep Kumar'!L:L,MATCH($B154,'Mr Sandeep Kumar'!$B:$B,0)),IFERROR(INDEX('Mr Manu Vikraman'!L:L,MATCH($B154,'Mr Manu Vikraman'!$B:$B,0)),""))</f>
        <v/>
      </c>
      <c r="M154" s="128" t="str">
        <f t="array" ref="M154">IFERROR(INDEX('Mr Sandeep Kumar'!M:M,MATCH($B154,'Mr Sandeep Kumar'!$B:$B,0)),IFERROR(INDEX('Mr Manu Vikraman'!M:M,MATCH($B154,'Mr Manu Vikraman'!$B:$B,0)),""))</f>
        <v/>
      </c>
      <c r="N154" s="128" t="str">
        <f t="array" ref="N154">IFERROR(INDEX('Mr Sandeep Kumar'!N:N,MATCH($B154,'Mr Sandeep Kumar'!$B:$B,0)),IFERROR(INDEX('Mr Manu Vikraman'!N:N,MATCH($B154,'Mr Manu Vikraman'!$B:$B,0)),""))</f>
        <v/>
      </c>
      <c r="O154" s="128" t="str">
        <f t="array" ref="O154">IFERROR(INDEX('Mr Sandeep Kumar'!O:O,MATCH($B154,'Mr Sandeep Kumar'!$B:$B,0)),IFERROR(INDEX('Mr Manu Vikraman'!O:O,MATCH($B154,'Mr Manu Vikraman'!$B:$B,0)),""))</f>
        <v/>
      </c>
      <c r="P154" s="128" t="str">
        <f t="array" ref="P154">IFERROR(INDEX('Mr Sandeep Kumar'!P:P,MATCH($B154,'Mr Sandeep Kumar'!$B:$B,0)),IFERROR(INDEX('Mr Manu Vikraman'!P:P,MATCH($B154,'Mr Manu Vikraman'!$B:$B,0)),""))</f>
        <v/>
      </c>
      <c r="Q154" s="129">
        <f t="shared" si="1"/>
        <v>0</v>
      </c>
      <c r="R154" s="130">
        <f t="shared" si="2"/>
        <v>0</v>
      </c>
      <c r="S154" s="131" t="str">
        <f t="shared" si="3"/>
        <v>D</v>
      </c>
      <c r="T154" s="131" t="str">
        <f t="shared" si="4"/>
        <v>Not Started</v>
      </c>
      <c r="U154" s="132"/>
    </row>
    <row r="155" ht="21.75" customHeight="1">
      <c r="A155" s="136"/>
      <c r="B155" s="126"/>
      <c r="C155" s="126"/>
      <c r="D155" s="126"/>
      <c r="E155" s="126"/>
      <c r="F155" s="127"/>
      <c r="G155" s="128" t="str">
        <f t="array" ref="G155">IFERROR(INDEX('Mr Sandeep Kumar'!G:G,MATCH($B155,'Mr Sandeep Kumar'!$B:$B,0)),IFERROR(INDEX('Mr Manu Vikraman'!G:G,MATCH($B155,'Mr Manu Vikraman'!$B:$B,0)),""))</f>
        <v/>
      </c>
      <c r="H155" s="128" t="str">
        <f t="array" ref="H155">IFERROR(INDEX('Mr Sandeep Kumar'!H:H,MATCH($B155,'Mr Sandeep Kumar'!$B:$B,0)),IFERROR(INDEX('Mr Manu Vikraman'!H:H,MATCH($B155,'Mr Manu Vikraman'!$B:$B,0)),""))</f>
        <v/>
      </c>
      <c r="I155" s="128" t="str">
        <f t="array" ref="I155">IFERROR(INDEX('Mr Sandeep Kumar'!I:I,MATCH($B155,'Mr Sandeep Kumar'!$B:$B,0)),IFERROR(INDEX('Mr Manu Vikraman'!I:I,MATCH($B155,'Mr Manu Vikraman'!$B:$B,0)),""))</f>
        <v/>
      </c>
      <c r="J155" s="128" t="str">
        <f t="array" ref="J155">IFERROR(INDEX('Mr Sandeep Kumar'!J:J,MATCH($B155,'Mr Sandeep Kumar'!$B:$B,0)),IFERROR(INDEX('Mr Manu Vikraman'!J:J,MATCH($B155,'Mr Manu Vikraman'!$B:$B,0)),""))</f>
        <v/>
      </c>
      <c r="K155" s="128" t="str">
        <f t="array" ref="K155">IFERROR(INDEX('Mr Sandeep Kumar'!K:K,MATCH($B155,'Mr Sandeep Kumar'!$B:$B,0)),IFERROR(INDEX('Mr Manu Vikraman'!K:K,MATCH($B155,'Mr Manu Vikraman'!$B:$B,0)),""))</f>
        <v/>
      </c>
      <c r="L155" s="128" t="str">
        <f t="array" ref="L155">IFERROR(INDEX('Mr Sandeep Kumar'!L:L,MATCH($B155,'Mr Sandeep Kumar'!$B:$B,0)),IFERROR(INDEX('Mr Manu Vikraman'!L:L,MATCH($B155,'Mr Manu Vikraman'!$B:$B,0)),""))</f>
        <v/>
      </c>
      <c r="M155" s="128" t="str">
        <f t="array" ref="M155">IFERROR(INDEX('Mr Sandeep Kumar'!M:M,MATCH($B155,'Mr Sandeep Kumar'!$B:$B,0)),IFERROR(INDEX('Mr Manu Vikraman'!M:M,MATCH($B155,'Mr Manu Vikraman'!$B:$B,0)),""))</f>
        <v/>
      </c>
      <c r="N155" s="128" t="str">
        <f t="array" ref="N155">IFERROR(INDEX('Mr Sandeep Kumar'!N:N,MATCH($B155,'Mr Sandeep Kumar'!$B:$B,0)),IFERROR(INDEX('Mr Manu Vikraman'!N:N,MATCH($B155,'Mr Manu Vikraman'!$B:$B,0)),""))</f>
        <v/>
      </c>
      <c r="O155" s="128" t="str">
        <f t="array" ref="O155">IFERROR(INDEX('Mr Sandeep Kumar'!O:O,MATCH($B155,'Mr Sandeep Kumar'!$B:$B,0)),IFERROR(INDEX('Mr Manu Vikraman'!O:O,MATCH($B155,'Mr Manu Vikraman'!$B:$B,0)),""))</f>
        <v/>
      </c>
      <c r="P155" s="128" t="str">
        <f t="array" ref="P155">IFERROR(INDEX('Mr Sandeep Kumar'!P:P,MATCH($B155,'Mr Sandeep Kumar'!$B:$B,0)),IFERROR(INDEX('Mr Manu Vikraman'!P:P,MATCH($B155,'Mr Manu Vikraman'!$B:$B,0)),""))</f>
        <v/>
      </c>
      <c r="Q155" s="129">
        <f t="shared" si="1"/>
        <v>0</v>
      </c>
      <c r="R155" s="130">
        <f t="shared" si="2"/>
        <v>0</v>
      </c>
      <c r="S155" s="131" t="str">
        <f t="shared" si="3"/>
        <v>D</v>
      </c>
      <c r="T155" s="131" t="str">
        <f t="shared" si="4"/>
        <v>Not Started</v>
      </c>
      <c r="U155" s="132"/>
    </row>
    <row r="156" ht="21.75" customHeight="1">
      <c r="A156" s="136"/>
      <c r="B156" s="126"/>
      <c r="C156" s="126"/>
      <c r="D156" s="126"/>
      <c r="E156" s="126"/>
      <c r="F156" s="127"/>
      <c r="G156" s="128" t="str">
        <f t="array" ref="G156">IFERROR(INDEX('Mr Sandeep Kumar'!G:G,MATCH($B156,'Mr Sandeep Kumar'!$B:$B,0)),IFERROR(INDEX('Mr Manu Vikraman'!G:G,MATCH($B156,'Mr Manu Vikraman'!$B:$B,0)),""))</f>
        <v/>
      </c>
      <c r="H156" s="128" t="str">
        <f t="array" ref="H156">IFERROR(INDEX('Mr Sandeep Kumar'!H:H,MATCH($B156,'Mr Sandeep Kumar'!$B:$B,0)),IFERROR(INDEX('Mr Manu Vikraman'!H:H,MATCH($B156,'Mr Manu Vikraman'!$B:$B,0)),""))</f>
        <v/>
      </c>
      <c r="I156" s="128" t="str">
        <f t="array" ref="I156">IFERROR(INDEX('Mr Sandeep Kumar'!I:I,MATCH($B156,'Mr Sandeep Kumar'!$B:$B,0)),IFERROR(INDEX('Mr Manu Vikraman'!I:I,MATCH($B156,'Mr Manu Vikraman'!$B:$B,0)),""))</f>
        <v/>
      </c>
      <c r="J156" s="128" t="str">
        <f t="array" ref="J156">IFERROR(INDEX('Mr Sandeep Kumar'!J:J,MATCH($B156,'Mr Sandeep Kumar'!$B:$B,0)),IFERROR(INDEX('Mr Manu Vikraman'!J:J,MATCH($B156,'Mr Manu Vikraman'!$B:$B,0)),""))</f>
        <v/>
      </c>
      <c r="K156" s="128" t="str">
        <f t="array" ref="K156">IFERROR(INDEX('Mr Sandeep Kumar'!K:K,MATCH($B156,'Mr Sandeep Kumar'!$B:$B,0)),IFERROR(INDEX('Mr Manu Vikraman'!K:K,MATCH($B156,'Mr Manu Vikraman'!$B:$B,0)),""))</f>
        <v/>
      </c>
      <c r="L156" s="128" t="str">
        <f t="array" ref="L156">IFERROR(INDEX('Mr Sandeep Kumar'!L:L,MATCH($B156,'Mr Sandeep Kumar'!$B:$B,0)),IFERROR(INDEX('Mr Manu Vikraman'!L:L,MATCH($B156,'Mr Manu Vikraman'!$B:$B,0)),""))</f>
        <v/>
      </c>
      <c r="M156" s="128" t="str">
        <f t="array" ref="M156">IFERROR(INDEX('Mr Sandeep Kumar'!M:M,MATCH($B156,'Mr Sandeep Kumar'!$B:$B,0)),IFERROR(INDEX('Mr Manu Vikraman'!M:M,MATCH($B156,'Mr Manu Vikraman'!$B:$B,0)),""))</f>
        <v/>
      </c>
      <c r="N156" s="128" t="str">
        <f t="array" ref="N156">IFERROR(INDEX('Mr Sandeep Kumar'!N:N,MATCH($B156,'Mr Sandeep Kumar'!$B:$B,0)),IFERROR(INDEX('Mr Manu Vikraman'!N:N,MATCH($B156,'Mr Manu Vikraman'!$B:$B,0)),""))</f>
        <v/>
      </c>
      <c r="O156" s="128" t="str">
        <f t="array" ref="O156">IFERROR(INDEX('Mr Sandeep Kumar'!O:O,MATCH($B156,'Mr Sandeep Kumar'!$B:$B,0)),IFERROR(INDEX('Mr Manu Vikraman'!O:O,MATCH($B156,'Mr Manu Vikraman'!$B:$B,0)),""))</f>
        <v/>
      </c>
      <c r="P156" s="128" t="str">
        <f t="array" ref="P156">IFERROR(INDEX('Mr Sandeep Kumar'!P:P,MATCH($B156,'Mr Sandeep Kumar'!$B:$B,0)),IFERROR(INDEX('Mr Manu Vikraman'!P:P,MATCH($B156,'Mr Manu Vikraman'!$B:$B,0)),""))</f>
        <v/>
      </c>
      <c r="Q156" s="129">
        <f t="shared" si="1"/>
        <v>0</v>
      </c>
      <c r="R156" s="130">
        <f t="shared" si="2"/>
        <v>0</v>
      </c>
      <c r="S156" s="131" t="str">
        <f t="shared" si="3"/>
        <v>D</v>
      </c>
      <c r="T156" s="131" t="str">
        <f t="shared" si="4"/>
        <v>Not Started</v>
      </c>
      <c r="U156" s="132"/>
    </row>
    <row r="157" ht="21.75" customHeight="1">
      <c r="A157" s="136"/>
      <c r="B157" s="126"/>
      <c r="C157" s="126"/>
      <c r="D157" s="126"/>
      <c r="E157" s="126"/>
      <c r="F157" s="127"/>
      <c r="G157" s="128" t="str">
        <f t="array" ref="G157">IFERROR(INDEX('Mr Sandeep Kumar'!G:G,MATCH($B157,'Mr Sandeep Kumar'!$B:$B,0)),IFERROR(INDEX('Mr Manu Vikraman'!G:G,MATCH($B157,'Mr Manu Vikraman'!$B:$B,0)),""))</f>
        <v/>
      </c>
      <c r="H157" s="128" t="str">
        <f t="array" ref="H157">IFERROR(INDEX('Mr Sandeep Kumar'!H:H,MATCH($B157,'Mr Sandeep Kumar'!$B:$B,0)),IFERROR(INDEX('Mr Manu Vikraman'!H:H,MATCH($B157,'Mr Manu Vikraman'!$B:$B,0)),""))</f>
        <v/>
      </c>
      <c r="I157" s="128" t="str">
        <f t="array" ref="I157">IFERROR(INDEX('Mr Sandeep Kumar'!I:I,MATCH($B157,'Mr Sandeep Kumar'!$B:$B,0)),IFERROR(INDEX('Mr Manu Vikraman'!I:I,MATCH($B157,'Mr Manu Vikraman'!$B:$B,0)),""))</f>
        <v/>
      </c>
      <c r="J157" s="128" t="str">
        <f t="array" ref="J157">IFERROR(INDEX('Mr Sandeep Kumar'!J:J,MATCH($B157,'Mr Sandeep Kumar'!$B:$B,0)),IFERROR(INDEX('Mr Manu Vikraman'!J:J,MATCH($B157,'Mr Manu Vikraman'!$B:$B,0)),""))</f>
        <v/>
      </c>
      <c r="K157" s="128" t="str">
        <f t="array" ref="K157">IFERROR(INDEX('Mr Sandeep Kumar'!K:K,MATCH($B157,'Mr Sandeep Kumar'!$B:$B,0)),IFERROR(INDEX('Mr Manu Vikraman'!K:K,MATCH($B157,'Mr Manu Vikraman'!$B:$B,0)),""))</f>
        <v/>
      </c>
      <c r="L157" s="128" t="str">
        <f t="array" ref="L157">IFERROR(INDEX('Mr Sandeep Kumar'!L:L,MATCH($B157,'Mr Sandeep Kumar'!$B:$B,0)),IFERROR(INDEX('Mr Manu Vikraman'!L:L,MATCH($B157,'Mr Manu Vikraman'!$B:$B,0)),""))</f>
        <v/>
      </c>
      <c r="M157" s="128" t="str">
        <f t="array" ref="M157">IFERROR(INDEX('Mr Sandeep Kumar'!M:M,MATCH($B157,'Mr Sandeep Kumar'!$B:$B,0)),IFERROR(INDEX('Mr Manu Vikraman'!M:M,MATCH($B157,'Mr Manu Vikraman'!$B:$B,0)),""))</f>
        <v/>
      </c>
      <c r="N157" s="128" t="str">
        <f t="array" ref="N157">IFERROR(INDEX('Mr Sandeep Kumar'!N:N,MATCH($B157,'Mr Sandeep Kumar'!$B:$B,0)),IFERROR(INDEX('Mr Manu Vikraman'!N:N,MATCH($B157,'Mr Manu Vikraman'!$B:$B,0)),""))</f>
        <v/>
      </c>
      <c r="O157" s="128" t="str">
        <f t="array" ref="O157">IFERROR(INDEX('Mr Sandeep Kumar'!O:O,MATCH($B157,'Mr Sandeep Kumar'!$B:$B,0)),IFERROR(INDEX('Mr Manu Vikraman'!O:O,MATCH($B157,'Mr Manu Vikraman'!$B:$B,0)),""))</f>
        <v/>
      </c>
      <c r="P157" s="128" t="str">
        <f t="array" ref="P157">IFERROR(INDEX('Mr Sandeep Kumar'!P:P,MATCH($B157,'Mr Sandeep Kumar'!$B:$B,0)),IFERROR(INDEX('Mr Manu Vikraman'!P:P,MATCH($B157,'Mr Manu Vikraman'!$B:$B,0)),""))</f>
        <v/>
      </c>
      <c r="Q157" s="129">
        <f t="shared" si="1"/>
        <v>0</v>
      </c>
      <c r="R157" s="130">
        <f t="shared" si="2"/>
        <v>0</v>
      </c>
      <c r="S157" s="131" t="str">
        <f t="shared" si="3"/>
        <v>D</v>
      </c>
      <c r="T157" s="131" t="str">
        <f t="shared" si="4"/>
        <v>Not Started</v>
      </c>
      <c r="U157" s="132"/>
    </row>
    <row r="158" ht="21.75" customHeight="1">
      <c r="A158" s="136"/>
      <c r="B158" s="126"/>
      <c r="C158" s="126"/>
      <c r="D158" s="126"/>
      <c r="E158" s="126"/>
      <c r="F158" s="127"/>
      <c r="G158" s="128" t="str">
        <f t="array" ref="G158">IFERROR(INDEX('Mr Sandeep Kumar'!G:G,MATCH($B158,'Mr Sandeep Kumar'!$B:$B,0)),IFERROR(INDEX('Mr Manu Vikraman'!G:G,MATCH($B158,'Mr Manu Vikraman'!$B:$B,0)),""))</f>
        <v/>
      </c>
      <c r="H158" s="128" t="str">
        <f t="array" ref="H158">IFERROR(INDEX('Mr Sandeep Kumar'!H:H,MATCH($B158,'Mr Sandeep Kumar'!$B:$B,0)),IFERROR(INDEX('Mr Manu Vikraman'!H:H,MATCH($B158,'Mr Manu Vikraman'!$B:$B,0)),""))</f>
        <v/>
      </c>
      <c r="I158" s="128" t="str">
        <f t="array" ref="I158">IFERROR(INDEX('Mr Sandeep Kumar'!I:I,MATCH($B158,'Mr Sandeep Kumar'!$B:$B,0)),IFERROR(INDEX('Mr Manu Vikraman'!I:I,MATCH($B158,'Mr Manu Vikraman'!$B:$B,0)),""))</f>
        <v/>
      </c>
      <c r="J158" s="128" t="str">
        <f t="array" ref="J158">IFERROR(INDEX('Mr Sandeep Kumar'!J:J,MATCH($B158,'Mr Sandeep Kumar'!$B:$B,0)),IFERROR(INDEX('Mr Manu Vikraman'!J:J,MATCH($B158,'Mr Manu Vikraman'!$B:$B,0)),""))</f>
        <v/>
      </c>
      <c r="K158" s="128" t="str">
        <f t="array" ref="K158">IFERROR(INDEX('Mr Sandeep Kumar'!K:K,MATCH($B158,'Mr Sandeep Kumar'!$B:$B,0)),IFERROR(INDEX('Mr Manu Vikraman'!K:K,MATCH($B158,'Mr Manu Vikraman'!$B:$B,0)),""))</f>
        <v/>
      </c>
      <c r="L158" s="128" t="str">
        <f t="array" ref="L158">IFERROR(INDEX('Mr Sandeep Kumar'!L:L,MATCH($B158,'Mr Sandeep Kumar'!$B:$B,0)),IFERROR(INDEX('Mr Manu Vikraman'!L:L,MATCH($B158,'Mr Manu Vikraman'!$B:$B,0)),""))</f>
        <v/>
      </c>
      <c r="M158" s="128" t="str">
        <f t="array" ref="M158">IFERROR(INDEX('Mr Sandeep Kumar'!M:M,MATCH($B158,'Mr Sandeep Kumar'!$B:$B,0)),IFERROR(INDEX('Mr Manu Vikraman'!M:M,MATCH($B158,'Mr Manu Vikraman'!$B:$B,0)),""))</f>
        <v/>
      </c>
      <c r="N158" s="128" t="str">
        <f t="array" ref="N158">IFERROR(INDEX('Mr Sandeep Kumar'!N:N,MATCH($B158,'Mr Sandeep Kumar'!$B:$B,0)),IFERROR(INDEX('Mr Manu Vikraman'!N:N,MATCH($B158,'Mr Manu Vikraman'!$B:$B,0)),""))</f>
        <v/>
      </c>
      <c r="O158" s="128" t="str">
        <f t="array" ref="O158">IFERROR(INDEX('Mr Sandeep Kumar'!O:O,MATCH($B158,'Mr Sandeep Kumar'!$B:$B,0)),IFERROR(INDEX('Mr Manu Vikraman'!O:O,MATCH($B158,'Mr Manu Vikraman'!$B:$B,0)),""))</f>
        <v/>
      </c>
      <c r="P158" s="128" t="str">
        <f t="array" ref="P158">IFERROR(INDEX('Mr Sandeep Kumar'!P:P,MATCH($B158,'Mr Sandeep Kumar'!$B:$B,0)),IFERROR(INDEX('Mr Manu Vikraman'!P:P,MATCH($B158,'Mr Manu Vikraman'!$B:$B,0)),""))</f>
        <v/>
      </c>
      <c r="Q158" s="129">
        <f t="shared" si="1"/>
        <v>0</v>
      </c>
      <c r="R158" s="130">
        <f t="shared" si="2"/>
        <v>0</v>
      </c>
      <c r="S158" s="131" t="str">
        <f t="shared" si="3"/>
        <v>D</v>
      </c>
      <c r="T158" s="131" t="str">
        <f t="shared" si="4"/>
        <v>Not Started</v>
      </c>
      <c r="U158" s="132"/>
    </row>
    <row r="159" ht="21.75" customHeight="1">
      <c r="A159" s="136"/>
      <c r="B159" s="126"/>
      <c r="C159" s="126"/>
      <c r="D159" s="126"/>
      <c r="E159" s="126"/>
      <c r="F159" s="127"/>
      <c r="G159" s="128" t="str">
        <f t="array" ref="G159">IFERROR(INDEX('Mr Sandeep Kumar'!G:G,MATCH($B159,'Mr Sandeep Kumar'!$B:$B,0)),IFERROR(INDEX('Mr Manu Vikraman'!G:G,MATCH($B159,'Mr Manu Vikraman'!$B:$B,0)),""))</f>
        <v/>
      </c>
      <c r="H159" s="128" t="str">
        <f t="array" ref="H159">IFERROR(INDEX('Mr Sandeep Kumar'!H:H,MATCH($B159,'Mr Sandeep Kumar'!$B:$B,0)),IFERROR(INDEX('Mr Manu Vikraman'!H:H,MATCH($B159,'Mr Manu Vikraman'!$B:$B,0)),""))</f>
        <v/>
      </c>
      <c r="I159" s="128" t="str">
        <f t="array" ref="I159">IFERROR(INDEX('Mr Sandeep Kumar'!I:I,MATCH($B159,'Mr Sandeep Kumar'!$B:$B,0)),IFERROR(INDEX('Mr Manu Vikraman'!I:I,MATCH($B159,'Mr Manu Vikraman'!$B:$B,0)),""))</f>
        <v/>
      </c>
      <c r="J159" s="128" t="str">
        <f t="array" ref="J159">IFERROR(INDEX('Mr Sandeep Kumar'!J:J,MATCH($B159,'Mr Sandeep Kumar'!$B:$B,0)),IFERROR(INDEX('Mr Manu Vikraman'!J:J,MATCH($B159,'Mr Manu Vikraman'!$B:$B,0)),""))</f>
        <v/>
      </c>
      <c r="K159" s="128" t="str">
        <f t="array" ref="K159">IFERROR(INDEX('Mr Sandeep Kumar'!K:K,MATCH($B159,'Mr Sandeep Kumar'!$B:$B,0)),IFERROR(INDEX('Mr Manu Vikraman'!K:K,MATCH($B159,'Mr Manu Vikraman'!$B:$B,0)),""))</f>
        <v/>
      </c>
      <c r="L159" s="128" t="str">
        <f t="array" ref="L159">IFERROR(INDEX('Mr Sandeep Kumar'!L:L,MATCH($B159,'Mr Sandeep Kumar'!$B:$B,0)),IFERROR(INDEX('Mr Manu Vikraman'!L:L,MATCH($B159,'Mr Manu Vikraman'!$B:$B,0)),""))</f>
        <v/>
      </c>
      <c r="M159" s="128" t="str">
        <f t="array" ref="M159">IFERROR(INDEX('Mr Sandeep Kumar'!M:M,MATCH($B159,'Mr Sandeep Kumar'!$B:$B,0)),IFERROR(INDEX('Mr Manu Vikraman'!M:M,MATCH($B159,'Mr Manu Vikraman'!$B:$B,0)),""))</f>
        <v/>
      </c>
      <c r="N159" s="128" t="str">
        <f t="array" ref="N159">IFERROR(INDEX('Mr Sandeep Kumar'!N:N,MATCH($B159,'Mr Sandeep Kumar'!$B:$B,0)),IFERROR(INDEX('Mr Manu Vikraman'!N:N,MATCH($B159,'Mr Manu Vikraman'!$B:$B,0)),""))</f>
        <v/>
      </c>
      <c r="O159" s="128" t="str">
        <f t="array" ref="O159">IFERROR(INDEX('Mr Sandeep Kumar'!O:O,MATCH($B159,'Mr Sandeep Kumar'!$B:$B,0)),IFERROR(INDEX('Mr Manu Vikraman'!O:O,MATCH($B159,'Mr Manu Vikraman'!$B:$B,0)),""))</f>
        <v/>
      </c>
      <c r="P159" s="128" t="str">
        <f t="array" ref="P159">IFERROR(INDEX('Mr Sandeep Kumar'!P:P,MATCH($B159,'Mr Sandeep Kumar'!$B:$B,0)),IFERROR(INDEX('Mr Manu Vikraman'!P:P,MATCH($B159,'Mr Manu Vikraman'!$B:$B,0)),""))</f>
        <v/>
      </c>
      <c r="Q159" s="129">
        <f t="shared" si="1"/>
        <v>0</v>
      </c>
      <c r="R159" s="130">
        <f t="shared" si="2"/>
        <v>0</v>
      </c>
      <c r="S159" s="131" t="str">
        <f t="shared" si="3"/>
        <v>D</v>
      </c>
      <c r="T159" s="131" t="str">
        <f t="shared" si="4"/>
        <v>Not Started</v>
      </c>
      <c r="U159" s="132"/>
    </row>
    <row r="160" ht="21.75" customHeight="1">
      <c r="A160" s="136"/>
      <c r="B160" s="126"/>
      <c r="C160" s="126"/>
      <c r="D160" s="126"/>
      <c r="E160" s="126"/>
      <c r="F160" s="127"/>
      <c r="G160" s="128" t="str">
        <f t="array" ref="G160">IFERROR(INDEX('Mr Sandeep Kumar'!G:G,MATCH($B160,'Mr Sandeep Kumar'!$B:$B,0)),IFERROR(INDEX('Mr Manu Vikraman'!G:G,MATCH($B160,'Mr Manu Vikraman'!$B:$B,0)),""))</f>
        <v/>
      </c>
      <c r="H160" s="128" t="str">
        <f t="array" ref="H160">IFERROR(INDEX('Mr Sandeep Kumar'!H:H,MATCH($B160,'Mr Sandeep Kumar'!$B:$B,0)),IFERROR(INDEX('Mr Manu Vikraman'!H:H,MATCH($B160,'Mr Manu Vikraman'!$B:$B,0)),""))</f>
        <v/>
      </c>
      <c r="I160" s="128" t="str">
        <f t="array" ref="I160">IFERROR(INDEX('Mr Sandeep Kumar'!I:I,MATCH($B160,'Mr Sandeep Kumar'!$B:$B,0)),IFERROR(INDEX('Mr Manu Vikraman'!I:I,MATCH($B160,'Mr Manu Vikraman'!$B:$B,0)),""))</f>
        <v/>
      </c>
      <c r="J160" s="128" t="str">
        <f t="array" ref="J160">IFERROR(INDEX('Mr Sandeep Kumar'!J:J,MATCH($B160,'Mr Sandeep Kumar'!$B:$B,0)),IFERROR(INDEX('Mr Manu Vikraman'!J:J,MATCH($B160,'Mr Manu Vikraman'!$B:$B,0)),""))</f>
        <v/>
      </c>
      <c r="K160" s="128" t="str">
        <f t="array" ref="K160">IFERROR(INDEX('Mr Sandeep Kumar'!K:K,MATCH($B160,'Mr Sandeep Kumar'!$B:$B,0)),IFERROR(INDEX('Mr Manu Vikraman'!K:K,MATCH($B160,'Mr Manu Vikraman'!$B:$B,0)),""))</f>
        <v/>
      </c>
      <c r="L160" s="128" t="str">
        <f t="array" ref="L160">IFERROR(INDEX('Mr Sandeep Kumar'!L:L,MATCH($B160,'Mr Sandeep Kumar'!$B:$B,0)),IFERROR(INDEX('Mr Manu Vikraman'!L:L,MATCH($B160,'Mr Manu Vikraman'!$B:$B,0)),""))</f>
        <v/>
      </c>
      <c r="M160" s="128" t="str">
        <f t="array" ref="M160">IFERROR(INDEX('Mr Sandeep Kumar'!M:M,MATCH($B160,'Mr Sandeep Kumar'!$B:$B,0)),IFERROR(INDEX('Mr Manu Vikraman'!M:M,MATCH($B160,'Mr Manu Vikraman'!$B:$B,0)),""))</f>
        <v/>
      </c>
      <c r="N160" s="128" t="str">
        <f t="array" ref="N160">IFERROR(INDEX('Mr Sandeep Kumar'!N:N,MATCH($B160,'Mr Sandeep Kumar'!$B:$B,0)),IFERROR(INDEX('Mr Manu Vikraman'!N:N,MATCH($B160,'Mr Manu Vikraman'!$B:$B,0)),""))</f>
        <v/>
      </c>
      <c r="O160" s="128" t="str">
        <f t="array" ref="O160">IFERROR(INDEX('Mr Sandeep Kumar'!O:O,MATCH($B160,'Mr Sandeep Kumar'!$B:$B,0)),IFERROR(INDEX('Mr Manu Vikraman'!O:O,MATCH($B160,'Mr Manu Vikraman'!$B:$B,0)),""))</f>
        <v/>
      </c>
      <c r="P160" s="128" t="str">
        <f t="array" ref="P160">IFERROR(INDEX('Mr Sandeep Kumar'!P:P,MATCH($B160,'Mr Sandeep Kumar'!$B:$B,0)),IFERROR(INDEX('Mr Manu Vikraman'!P:P,MATCH($B160,'Mr Manu Vikraman'!$B:$B,0)),""))</f>
        <v/>
      </c>
      <c r="Q160" s="129">
        <f t="shared" si="1"/>
        <v>0</v>
      </c>
      <c r="R160" s="130">
        <f t="shared" si="2"/>
        <v>0</v>
      </c>
      <c r="S160" s="131" t="str">
        <f t="shared" si="3"/>
        <v>D</v>
      </c>
      <c r="T160" s="131" t="str">
        <f t="shared" si="4"/>
        <v>Not Started</v>
      </c>
      <c r="U160" s="132"/>
    </row>
    <row r="161" ht="21.75" customHeight="1">
      <c r="A161" s="136"/>
      <c r="B161" s="126"/>
      <c r="C161" s="126"/>
      <c r="D161" s="126"/>
      <c r="E161" s="126"/>
      <c r="F161" s="127"/>
      <c r="G161" s="128" t="str">
        <f t="array" ref="G161">IFERROR(INDEX('Mr Sandeep Kumar'!G:G,MATCH($B161,'Mr Sandeep Kumar'!$B:$B,0)),IFERROR(INDEX('Mr Manu Vikraman'!G:G,MATCH($B161,'Mr Manu Vikraman'!$B:$B,0)),""))</f>
        <v/>
      </c>
      <c r="H161" s="128" t="str">
        <f t="array" ref="H161">IFERROR(INDEX('Mr Sandeep Kumar'!H:H,MATCH($B161,'Mr Sandeep Kumar'!$B:$B,0)),IFERROR(INDEX('Mr Manu Vikraman'!H:H,MATCH($B161,'Mr Manu Vikraman'!$B:$B,0)),""))</f>
        <v/>
      </c>
      <c r="I161" s="128" t="str">
        <f t="array" ref="I161">IFERROR(INDEX('Mr Sandeep Kumar'!I:I,MATCH($B161,'Mr Sandeep Kumar'!$B:$B,0)),IFERROR(INDEX('Mr Manu Vikraman'!I:I,MATCH($B161,'Mr Manu Vikraman'!$B:$B,0)),""))</f>
        <v/>
      </c>
      <c r="J161" s="128" t="str">
        <f t="array" ref="J161">IFERROR(INDEX('Mr Sandeep Kumar'!J:J,MATCH($B161,'Mr Sandeep Kumar'!$B:$B,0)),IFERROR(INDEX('Mr Manu Vikraman'!J:J,MATCH($B161,'Mr Manu Vikraman'!$B:$B,0)),""))</f>
        <v/>
      </c>
      <c r="K161" s="128" t="str">
        <f t="array" ref="K161">IFERROR(INDEX('Mr Sandeep Kumar'!K:K,MATCH($B161,'Mr Sandeep Kumar'!$B:$B,0)),IFERROR(INDEX('Mr Manu Vikraman'!K:K,MATCH($B161,'Mr Manu Vikraman'!$B:$B,0)),""))</f>
        <v/>
      </c>
      <c r="L161" s="128" t="str">
        <f t="array" ref="L161">IFERROR(INDEX('Mr Sandeep Kumar'!L:L,MATCH($B161,'Mr Sandeep Kumar'!$B:$B,0)),IFERROR(INDEX('Mr Manu Vikraman'!L:L,MATCH($B161,'Mr Manu Vikraman'!$B:$B,0)),""))</f>
        <v/>
      </c>
      <c r="M161" s="128" t="str">
        <f t="array" ref="M161">IFERROR(INDEX('Mr Sandeep Kumar'!M:M,MATCH($B161,'Mr Sandeep Kumar'!$B:$B,0)),IFERROR(INDEX('Mr Manu Vikraman'!M:M,MATCH($B161,'Mr Manu Vikraman'!$B:$B,0)),""))</f>
        <v/>
      </c>
      <c r="N161" s="128" t="str">
        <f t="array" ref="N161">IFERROR(INDEX('Mr Sandeep Kumar'!N:N,MATCH($B161,'Mr Sandeep Kumar'!$B:$B,0)),IFERROR(INDEX('Mr Manu Vikraman'!N:N,MATCH($B161,'Mr Manu Vikraman'!$B:$B,0)),""))</f>
        <v/>
      </c>
      <c r="O161" s="128" t="str">
        <f t="array" ref="O161">IFERROR(INDEX('Mr Sandeep Kumar'!O:O,MATCH($B161,'Mr Sandeep Kumar'!$B:$B,0)),IFERROR(INDEX('Mr Manu Vikraman'!O:O,MATCH($B161,'Mr Manu Vikraman'!$B:$B,0)),""))</f>
        <v/>
      </c>
      <c r="P161" s="128" t="str">
        <f t="array" ref="P161">IFERROR(INDEX('Mr Sandeep Kumar'!P:P,MATCH($B161,'Mr Sandeep Kumar'!$B:$B,0)),IFERROR(INDEX('Mr Manu Vikraman'!P:P,MATCH($B161,'Mr Manu Vikraman'!$B:$B,0)),""))</f>
        <v/>
      </c>
      <c r="Q161" s="129">
        <f t="shared" si="1"/>
        <v>0</v>
      </c>
      <c r="R161" s="130">
        <f t="shared" si="2"/>
        <v>0</v>
      </c>
      <c r="S161" s="131" t="str">
        <f t="shared" si="3"/>
        <v>D</v>
      </c>
      <c r="T161" s="131" t="str">
        <f t="shared" si="4"/>
        <v>Not Started</v>
      </c>
      <c r="U161" s="132"/>
    </row>
    <row r="162" ht="21.75" customHeight="1">
      <c r="A162" s="136"/>
      <c r="B162" s="126"/>
      <c r="C162" s="126"/>
      <c r="D162" s="126"/>
      <c r="E162" s="126"/>
      <c r="F162" s="127"/>
      <c r="G162" s="128" t="str">
        <f t="array" ref="G162">IFERROR(INDEX('Mr Sandeep Kumar'!G:G,MATCH($B162,'Mr Sandeep Kumar'!$B:$B,0)),IFERROR(INDEX('Mr Manu Vikraman'!G:G,MATCH($B162,'Mr Manu Vikraman'!$B:$B,0)),""))</f>
        <v/>
      </c>
      <c r="H162" s="128" t="str">
        <f t="array" ref="H162">IFERROR(INDEX('Mr Sandeep Kumar'!H:H,MATCH($B162,'Mr Sandeep Kumar'!$B:$B,0)),IFERROR(INDEX('Mr Manu Vikraman'!H:H,MATCH($B162,'Mr Manu Vikraman'!$B:$B,0)),""))</f>
        <v/>
      </c>
      <c r="I162" s="128" t="str">
        <f t="array" ref="I162">IFERROR(INDEX('Mr Sandeep Kumar'!I:I,MATCH($B162,'Mr Sandeep Kumar'!$B:$B,0)),IFERROR(INDEX('Mr Manu Vikraman'!I:I,MATCH($B162,'Mr Manu Vikraman'!$B:$B,0)),""))</f>
        <v/>
      </c>
      <c r="J162" s="128" t="str">
        <f t="array" ref="J162">IFERROR(INDEX('Mr Sandeep Kumar'!J:J,MATCH($B162,'Mr Sandeep Kumar'!$B:$B,0)),IFERROR(INDEX('Mr Manu Vikraman'!J:J,MATCH($B162,'Mr Manu Vikraman'!$B:$B,0)),""))</f>
        <v/>
      </c>
      <c r="K162" s="128" t="str">
        <f t="array" ref="K162">IFERROR(INDEX('Mr Sandeep Kumar'!K:K,MATCH($B162,'Mr Sandeep Kumar'!$B:$B,0)),IFERROR(INDEX('Mr Manu Vikraman'!K:K,MATCH($B162,'Mr Manu Vikraman'!$B:$B,0)),""))</f>
        <v/>
      </c>
      <c r="L162" s="128" t="str">
        <f t="array" ref="L162">IFERROR(INDEX('Mr Sandeep Kumar'!L:L,MATCH($B162,'Mr Sandeep Kumar'!$B:$B,0)),IFERROR(INDEX('Mr Manu Vikraman'!L:L,MATCH($B162,'Mr Manu Vikraman'!$B:$B,0)),""))</f>
        <v/>
      </c>
      <c r="M162" s="128" t="str">
        <f t="array" ref="M162">IFERROR(INDEX('Mr Sandeep Kumar'!M:M,MATCH($B162,'Mr Sandeep Kumar'!$B:$B,0)),IFERROR(INDEX('Mr Manu Vikraman'!M:M,MATCH($B162,'Mr Manu Vikraman'!$B:$B,0)),""))</f>
        <v/>
      </c>
      <c r="N162" s="128" t="str">
        <f t="array" ref="N162">IFERROR(INDEX('Mr Sandeep Kumar'!N:N,MATCH($B162,'Mr Sandeep Kumar'!$B:$B,0)),IFERROR(INDEX('Mr Manu Vikraman'!N:N,MATCH($B162,'Mr Manu Vikraman'!$B:$B,0)),""))</f>
        <v/>
      </c>
      <c r="O162" s="128" t="str">
        <f t="array" ref="O162">IFERROR(INDEX('Mr Sandeep Kumar'!O:O,MATCH($B162,'Mr Sandeep Kumar'!$B:$B,0)),IFERROR(INDEX('Mr Manu Vikraman'!O:O,MATCH($B162,'Mr Manu Vikraman'!$B:$B,0)),""))</f>
        <v/>
      </c>
      <c r="P162" s="128" t="str">
        <f t="array" ref="P162">IFERROR(INDEX('Mr Sandeep Kumar'!P:P,MATCH($B162,'Mr Sandeep Kumar'!$B:$B,0)),IFERROR(INDEX('Mr Manu Vikraman'!P:P,MATCH($B162,'Mr Manu Vikraman'!$B:$B,0)),""))</f>
        <v/>
      </c>
      <c r="Q162" s="129">
        <f t="shared" si="1"/>
        <v>0</v>
      </c>
      <c r="R162" s="130">
        <f t="shared" si="2"/>
        <v>0</v>
      </c>
      <c r="S162" s="131" t="str">
        <f t="shared" si="3"/>
        <v>D</v>
      </c>
      <c r="T162" s="131" t="str">
        <f t="shared" si="4"/>
        <v>Not Started</v>
      </c>
      <c r="U162" s="132"/>
    </row>
    <row r="163" ht="21.75" customHeight="1">
      <c r="A163" s="136"/>
      <c r="B163" s="126"/>
      <c r="C163" s="126"/>
      <c r="D163" s="126"/>
      <c r="E163" s="126"/>
      <c r="F163" s="127"/>
      <c r="G163" s="128" t="str">
        <f t="array" ref="G163">IFERROR(INDEX('Mr Sandeep Kumar'!G:G,MATCH($B163,'Mr Sandeep Kumar'!$B:$B,0)),IFERROR(INDEX('Mr Manu Vikraman'!G:G,MATCH($B163,'Mr Manu Vikraman'!$B:$B,0)),""))</f>
        <v/>
      </c>
      <c r="H163" s="128" t="str">
        <f t="array" ref="H163">IFERROR(INDEX('Mr Sandeep Kumar'!H:H,MATCH($B163,'Mr Sandeep Kumar'!$B:$B,0)),IFERROR(INDEX('Mr Manu Vikraman'!H:H,MATCH($B163,'Mr Manu Vikraman'!$B:$B,0)),""))</f>
        <v/>
      </c>
      <c r="I163" s="128" t="str">
        <f t="array" ref="I163">IFERROR(INDEX('Mr Sandeep Kumar'!I:I,MATCH($B163,'Mr Sandeep Kumar'!$B:$B,0)),IFERROR(INDEX('Mr Manu Vikraman'!I:I,MATCH($B163,'Mr Manu Vikraman'!$B:$B,0)),""))</f>
        <v/>
      </c>
      <c r="J163" s="128" t="str">
        <f t="array" ref="J163">IFERROR(INDEX('Mr Sandeep Kumar'!J:J,MATCH($B163,'Mr Sandeep Kumar'!$B:$B,0)),IFERROR(INDEX('Mr Manu Vikraman'!J:J,MATCH($B163,'Mr Manu Vikraman'!$B:$B,0)),""))</f>
        <v/>
      </c>
      <c r="K163" s="128" t="str">
        <f t="array" ref="K163">IFERROR(INDEX('Mr Sandeep Kumar'!K:K,MATCH($B163,'Mr Sandeep Kumar'!$B:$B,0)),IFERROR(INDEX('Mr Manu Vikraman'!K:K,MATCH($B163,'Mr Manu Vikraman'!$B:$B,0)),""))</f>
        <v/>
      </c>
      <c r="L163" s="128" t="str">
        <f t="array" ref="L163">IFERROR(INDEX('Mr Sandeep Kumar'!L:L,MATCH($B163,'Mr Sandeep Kumar'!$B:$B,0)),IFERROR(INDEX('Mr Manu Vikraman'!L:L,MATCH($B163,'Mr Manu Vikraman'!$B:$B,0)),""))</f>
        <v/>
      </c>
      <c r="M163" s="128" t="str">
        <f t="array" ref="M163">IFERROR(INDEX('Mr Sandeep Kumar'!M:M,MATCH($B163,'Mr Sandeep Kumar'!$B:$B,0)),IFERROR(INDEX('Mr Manu Vikraman'!M:M,MATCH($B163,'Mr Manu Vikraman'!$B:$B,0)),""))</f>
        <v/>
      </c>
      <c r="N163" s="128" t="str">
        <f t="array" ref="N163">IFERROR(INDEX('Mr Sandeep Kumar'!N:N,MATCH($B163,'Mr Sandeep Kumar'!$B:$B,0)),IFERROR(INDEX('Mr Manu Vikraman'!N:N,MATCH($B163,'Mr Manu Vikraman'!$B:$B,0)),""))</f>
        <v/>
      </c>
      <c r="O163" s="128" t="str">
        <f t="array" ref="O163">IFERROR(INDEX('Mr Sandeep Kumar'!O:O,MATCH($B163,'Mr Sandeep Kumar'!$B:$B,0)),IFERROR(INDEX('Mr Manu Vikraman'!O:O,MATCH($B163,'Mr Manu Vikraman'!$B:$B,0)),""))</f>
        <v/>
      </c>
      <c r="P163" s="128" t="str">
        <f t="array" ref="P163">IFERROR(INDEX('Mr Sandeep Kumar'!P:P,MATCH($B163,'Mr Sandeep Kumar'!$B:$B,0)),IFERROR(INDEX('Mr Manu Vikraman'!P:P,MATCH($B163,'Mr Manu Vikraman'!$B:$B,0)),""))</f>
        <v/>
      </c>
      <c r="Q163" s="129">
        <f t="shared" si="1"/>
        <v>0</v>
      </c>
      <c r="R163" s="130">
        <f t="shared" si="2"/>
        <v>0</v>
      </c>
      <c r="S163" s="131" t="str">
        <f t="shared" si="3"/>
        <v>D</v>
      </c>
      <c r="T163" s="131" t="str">
        <f t="shared" si="4"/>
        <v>Not Started</v>
      </c>
      <c r="U163" s="132"/>
    </row>
    <row r="164" ht="21.75" customHeight="1">
      <c r="A164" s="136"/>
      <c r="B164" s="126"/>
      <c r="C164" s="126"/>
      <c r="D164" s="126"/>
      <c r="E164" s="126"/>
      <c r="F164" s="127"/>
      <c r="G164" s="128" t="str">
        <f t="array" ref="G164">IFERROR(INDEX('Mr Sandeep Kumar'!G:G,MATCH($B164,'Mr Sandeep Kumar'!$B:$B,0)),IFERROR(INDEX('Mr Manu Vikraman'!G:G,MATCH($B164,'Mr Manu Vikraman'!$B:$B,0)),""))</f>
        <v/>
      </c>
      <c r="H164" s="128" t="str">
        <f t="array" ref="H164">IFERROR(INDEX('Mr Sandeep Kumar'!H:H,MATCH($B164,'Mr Sandeep Kumar'!$B:$B,0)),IFERROR(INDEX('Mr Manu Vikraman'!H:H,MATCH($B164,'Mr Manu Vikraman'!$B:$B,0)),""))</f>
        <v/>
      </c>
      <c r="I164" s="128" t="str">
        <f t="array" ref="I164">IFERROR(INDEX('Mr Sandeep Kumar'!I:I,MATCH($B164,'Mr Sandeep Kumar'!$B:$B,0)),IFERROR(INDEX('Mr Manu Vikraman'!I:I,MATCH($B164,'Mr Manu Vikraman'!$B:$B,0)),""))</f>
        <v/>
      </c>
      <c r="J164" s="128" t="str">
        <f t="array" ref="J164">IFERROR(INDEX('Mr Sandeep Kumar'!J:J,MATCH($B164,'Mr Sandeep Kumar'!$B:$B,0)),IFERROR(INDEX('Mr Manu Vikraman'!J:J,MATCH($B164,'Mr Manu Vikraman'!$B:$B,0)),""))</f>
        <v/>
      </c>
      <c r="K164" s="128" t="str">
        <f t="array" ref="K164">IFERROR(INDEX('Mr Sandeep Kumar'!K:K,MATCH($B164,'Mr Sandeep Kumar'!$B:$B,0)),IFERROR(INDEX('Mr Manu Vikraman'!K:K,MATCH($B164,'Mr Manu Vikraman'!$B:$B,0)),""))</f>
        <v/>
      </c>
      <c r="L164" s="128" t="str">
        <f t="array" ref="L164">IFERROR(INDEX('Mr Sandeep Kumar'!L:L,MATCH($B164,'Mr Sandeep Kumar'!$B:$B,0)),IFERROR(INDEX('Mr Manu Vikraman'!L:L,MATCH($B164,'Mr Manu Vikraman'!$B:$B,0)),""))</f>
        <v/>
      </c>
      <c r="M164" s="128" t="str">
        <f t="array" ref="M164">IFERROR(INDEX('Mr Sandeep Kumar'!M:M,MATCH($B164,'Mr Sandeep Kumar'!$B:$B,0)),IFERROR(INDEX('Mr Manu Vikraman'!M:M,MATCH($B164,'Mr Manu Vikraman'!$B:$B,0)),""))</f>
        <v/>
      </c>
      <c r="N164" s="128" t="str">
        <f t="array" ref="N164">IFERROR(INDEX('Mr Sandeep Kumar'!N:N,MATCH($B164,'Mr Sandeep Kumar'!$B:$B,0)),IFERROR(INDEX('Mr Manu Vikraman'!N:N,MATCH($B164,'Mr Manu Vikraman'!$B:$B,0)),""))</f>
        <v/>
      </c>
      <c r="O164" s="128" t="str">
        <f t="array" ref="O164">IFERROR(INDEX('Mr Sandeep Kumar'!O:O,MATCH($B164,'Mr Sandeep Kumar'!$B:$B,0)),IFERROR(INDEX('Mr Manu Vikraman'!O:O,MATCH($B164,'Mr Manu Vikraman'!$B:$B,0)),""))</f>
        <v/>
      </c>
      <c r="P164" s="128" t="str">
        <f t="array" ref="P164">IFERROR(INDEX('Mr Sandeep Kumar'!P:P,MATCH($B164,'Mr Sandeep Kumar'!$B:$B,0)),IFERROR(INDEX('Mr Manu Vikraman'!P:P,MATCH($B164,'Mr Manu Vikraman'!$B:$B,0)),""))</f>
        <v/>
      </c>
      <c r="Q164" s="129">
        <f t="shared" si="1"/>
        <v>0</v>
      </c>
      <c r="R164" s="130">
        <f t="shared" si="2"/>
        <v>0</v>
      </c>
      <c r="S164" s="131" t="str">
        <f t="shared" si="3"/>
        <v>D</v>
      </c>
      <c r="T164" s="131" t="str">
        <f t="shared" si="4"/>
        <v>Not Started</v>
      </c>
      <c r="U164" s="132"/>
    </row>
    <row r="165" ht="21.75" customHeight="1">
      <c r="A165" s="136"/>
      <c r="B165" s="126"/>
      <c r="C165" s="126"/>
      <c r="D165" s="126"/>
      <c r="E165" s="126"/>
      <c r="F165" s="127"/>
      <c r="G165" s="128" t="str">
        <f t="array" ref="G165">IFERROR(INDEX('Mr Sandeep Kumar'!G:G,MATCH($B165,'Mr Sandeep Kumar'!$B:$B,0)),IFERROR(INDEX('Mr Manu Vikraman'!G:G,MATCH($B165,'Mr Manu Vikraman'!$B:$B,0)),""))</f>
        <v/>
      </c>
      <c r="H165" s="128" t="str">
        <f t="array" ref="H165">IFERROR(INDEX('Mr Sandeep Kumar'!H:H,MATCH($B165,'Mr Sandeep Kumar'!$B:$B,0)),IFERROR(INDEX('Mr Manu Vikraman'!H:H,MATCH($B165,'Mr Manu Vikraman'!$B:$B,0)),""))</f>
        <v/>
      </c>
      <c r="I165" s="128" t="str">
        <f t="array" ref="I165">IFERROR(INDEX('Mr Sandeep Kumar'!I:I,MATCH($B165,'Mr Sandeep Kumar'!$B:$B,0)),IFERROR(INDEX('Mr Manu Vikraman'!I:I,MATCH($B165,'Mr Manu Vikraman'!$B:$B,0)),""))</f>
        <v/>
      </c>
      <c r="J165" s="128" t="str">
        <f t="array" ref="J165">IFERROR(INDEX('Mr Sandeep Kumar'!J:J,MATCH($B165,'Mr Sandeep Kumar'!$B:$B,0)),IFERROR(INDEX('Mr Manu Vikraman'!J:J,MATCH($B165,'Mr Manu Vikraman'!$B:$B,0)),""))</f>
        <v/>
      </c>
      <c r="K165" s="128" t="str">
        <f t="array" ref="K165">IFERROR(INDEX('Mr Sandeep Kumar'!K:K,MATCH($B165,'Mr Sandeep Kumar'!$B:$B,0)),IFERROR(INDEX('Mr Manu Vikraman'!K:K,MATCH($B165,'Mr Manu Vikraman'!$B:$B,0)),""))</f>
        <v/>
      </c>
      <c r="L165" s="128" t="str">
        <f t="array" ref="L165">IFERROR(INDEX('Mr Sandeep Kumar'!L:L,MATCH($B165,'Mr Sandeep Kumar'!$B:$B,0)),IFERROR(INDEX('Mr Manu Vikraman'!L:L,MATCH($B165,'Mr Manu Vikraman'!$B:$B,0)),""))</f>
        <v/>
      </c>
      <c r="M165" s="128" t="str">
        <f t="array" ref="M165">IFERROR(INDEX('Mr Sandeep Kumar'!M:M,MATCH($B165,'Mr Sandeep Kumar'!$B:$B,0)),IFERROR(INDEX('Mr Manu Vikraman'!M:M,MATCH($B165,'Mr Manu Vikraman'!$B:$B,0)),""))</f>
        <v/>
      </c>
      <c r="N165" s="128" t="str">
        <f t="array" ref="N165">IFERROR(INDEX('Mr Sandeep Kumar'!N:N,MATCH($B165,'Mr Sandeep Kumar'!$B:$B,0)),IFERROR(INDEX('Mr Manu Vikraman'!N:N,MATCH($B165,'Mr Manu Vikraman'!$B:$B,0)),""))</f>
        <v/>
      </c>
      <c r="O165" s="128" t="str">
        <f t="array" ref="O165">IFERROR(INDEX('Mr Sandeep Kumar'!O:O,MATCH($B165,'Mr Sandeep Kumar'!$B:$B,0)),IFERROR(INDEX('Mr Manu Vikraman'!O:O,MATCH($B165,'Mr Manu Vikraman'!$B:$B,0)),""))</f>
        <v/>
      </c>
      <c r="P165" s="128" t="str">
        <f t="array" ref="P165">IFERROR(INDEX('Mr Sandeep Kumar'!P:P,MATCH($B165,'Mr Sandeep Kumar'!$B:$B,0)),IFERROR(INDEX('Mr Manu Vikraman'!P:P,MATCH($B165,'Mr Manu Vikraman'!$B:$B,0)),""))</f>
        <v/>
      </c>
      <c r="Q165" s="129">
        <f t="shared" si="1"/>
        <v>0</v>
      </c>
      <c r="R165" s="130">
        <f t="shared" si="2"/>
        <v>0</v>
      </c>
      <c r="S165" s="131" t="str">
        <f t="shared" si="3"/>
        <v>D</v>
      </c>
      <c r="T165" s="131" t="str">
        <f t="shared" si="4"/>
        <v>Not Started</v>
      </c>
      <c r="U165" s="132"/>
    </row>
    <row r="166" ht="21.75" customHeight="1">
      <c r="A166" s="136"/>
      <c r="B166" s="126"/>
      <c r="C166" s="126"/>
      <c r="D166" s="126"/>
      <c r="E166" s="126"/>
      <c r="F166" s="127"/>
      <c r="G166" s="128" t="str">
        <f t="array" ref="G166">IFERROR(INDEX('Mr Sandeep Kumar'!G:G,MATCH($B166,'Mr Sandeep Kumar'!$B:$B,0)),IFERROR(INDEX('Mr Manu Vikraman'!G:G,MATCH($B166,'Mr Manu Vikraman'!$B:$B,0)),""))</f>
        <v/>
      </c>
      <c r="H166" s="128" t="str">
        <f t="array" ref="H166">IFERROR(INDEX('Mr Sandeep Kumar'!H:H,MATCH($B166,'Mr Sandeep Kumar'!$B:$B,0)),IFERROR(INDEX('Mr Manu Vikraman'!H:H,MATCH($B166,'Mr Manu Vikraman'!$B:$B,0)),""))</f>
        <v/>
      </c>
      <c r="I166" s="128" t="str">
        <f t="array" ref="I166">IFERROR(INDEX('Mr Sandeep Kumar'!I:I,MATCH($B166,'Mr Sandeep Kumar'!$B:$B,0)),IFERROR(INDEX('Mr Manu Vikraman'!I:I,MATCH($B166,'Mr Manu Vikraman'!$B:$B,0)),""))</f>
        <v/>
      </c>
      <c r="J166" s="128" t="str">
        <f t="array" ref="J166">IFERROR(INDEX('Mr Sandeep Kumar'!J:J,MATCH($B166,'Mr Sandeep Kumar'!$B:$B,0)),IFERROR(INDEX('Mr Manu Vikraman'!J:J,MATCH($B166,'Mr Manu Vikraman'!$B:$B,0)),""))</f>
        <v/>
      </c>
      <c r="K166" s="128" t="str">
        <f t="array" ref="K166">IFERROR(INDEX('Mr Sandeep Kumar'!K:K,MATCH($B166,'Mr Sandeep Kumar'!$B:$B,0)),IFERROR(INDEX('Mr Manu Vikraman'!K:K,MATCH($B166,'Mr Manu Vikraman'!$B:$B,0)),""))</f>
        <v/>
      </c>
      <c r="L166" s="128" t="str">
        <f t="array" ref="L166">IFERROR(INDEX('Mr Sandeep Kumar'!L:L,MATCH($B166,'Mr Sandeep Kumar'!$B:$B,0)),IFERROR(INDEX('Mr Manu Vikraman'!L:L,MATCH($B166,'Mr Manu Vikraman'!$B:$B,0)),""))</f>
        <v/>
      </c>
      <c r="M166" s="128" t="str">
        <f t="array" ref="M166">IFERROR(INDEX('Mr Sandeep Kumar'!M:M,MATCH($B166,'Mr Sandeep Kumar'!$B:$B,0)),IFERROR(INDEX('Mr Manu Vikraman'!M:M,MATCH($B166,'Mr Manu Vikraman'!$B:$B,0)),""))</f>
        <v/>
      </c>
      <c r="N166" s="128" t="str">
        <f t="array" ref="N166">IFERROR(INDEX('Mr Sandeep Kumar'!N:N,MATCH($B166,'Mr Sandeep Kumar'!$B:$B,0)),IFERROR(INDEX('Mr Manu Vikraman'!N:N,MATCH($B166,'Mr Manu Vikraman'!$B:$B,0)),""))</f>
        <v/>
      </c>
      <c r="O166" s="128" t="str">
        <f t="array" ref="O166">IFERROR(INDEX('Mr Sandeep Kumar'!O:O,MATCH($B166,'Mr Sandeep Kumar'!$B:$B,0)),IFERROR(INDEX('Mr Manu Vikraman'!O:O,MATCH($B166,'Mr Manu Vikraman'!$B:$B,0)),""))</f>
        <v/>
      </c>
      <c r="P166" s="128" t="str">
        <f t="array" ref="P166">IFERROR(INDEX('Mr Sandeep Kumar'!P:P,MATCH($B166,'Mr Sandeep Kumar'!$B:$B,0)),IFERROR(INDEX('Mr Manu Vikraman'!P:P,MATCH($B166,'Mr Manu Vikraman'!$B:$B,0)),""))</f>
        <v/>
      </c>
      <c r="Q166" s="129">
        <f t="shared" si="1"/>
        <v>0</v>
      </c>
      <c r="R166" s="130">
        <f t="shared" si="2"/>
        <v>0</v>
      </c>
      <c r="S166" s="131" t="str">
        <f t="shared" si="3"/>
        <v>D</v>
      </c>
      <c r="T166" s="131" t="str">
        <f t="shared" si="4"/>
        <v>Not Started</v>
      </c>
      <c r="U166" s="132"/>
    </row>
    <row r="167" ht="21.75" customHeight="1">
      <c r="A167" s="136"/>
      <c r="B167" s="126"/>
      <c r="C167" s="126"/>
      <c r="D167" s="126"/>
      <c r="E167" s="126"/>
      <c r="F167" s="127"/>
      <c r="G167" s="128" t="str">
        <f t="array" ref="G167">IFERROR(INDEX('Mr Sandeep Kumar'!G:G,MATCH($B167,'Mr Sandeep Kumar'!$B:$B,0)),IFERROR(INDEX('Mr Manu Vikraman'!G:G,MATCH($B167,'Mr Manu Vikraman'!$B:$B,0)),""))</f>
        <v/>
      </c>
      <c r="H167" s="128" t="str">
        <f t="array" ref="H167">IFERROR(INDEX('Mr Sandeep Kumar'!H:H,MATCH($B167,'Mr Sandeep Kumar'!$B:$B,0)),IFERROR(INDEX('Mr Manu Vikraman'!H:H,MATCH($B167,'Mr Manu Vikraman'!$B:$B,0)),""))</f>
        <v/>
      </c>
      <c r="I167" s="128" t="str">
        <f t="array" ref="I167">IFERROR(INDEX('Mr Sandeep Kumar'!I:I,MATCH($B167,'Mr Sandeep Kumar'!$B:$B,0)),IFERROR(INDEX('Mr Manu Vikraman'!I:I,MATCH($B167,'Mr Manu Vikraman'!$B:$B,0)),""))</f>
        <v/>
      </c>
      <c r="J167" s="128" t="str">
        <f t="array" ref="J167">IFERROR(INDEX('Mr Sandeep Kumar'!J:J,MATCH($B167,'Mr Sandeep Kumar'!$B:$B,0)),IFERROR(INDEX('Mr Manu Vikraman'!J:J,MATCH($B167,'Mr Manu Vikraman'!$B:$B,0)),""))</f>
        <v/>
      </c>
      <c r="K167" s="128" t="str">
        <f t="array" ref="K167">IFERROR(INDEX('Mr Sandeep Kumar'!K:K,MATCH($B167,'Mr Sandeep Kumar'!$B:$B,0)),IFERROR(INDEX('Mr Manu Vikraman'!K:K,MATCH($B167,'Mr Manu Vikraman'!$B:$B,0)),""))</f>
        <v/>
      </c>
      <c r="L167" s="128" t="str">
        <f t="array" ref="L167">IFERROR(INDEX('Mr Sandeep Kumar'!L:L,MATCH($B167,'Mr Sandeep Kumar'!$B:$B,0)),IFERROR(INDEX('Mr Manu Vikraman'!L:L,MATCH($B167,'Mr Manu Vikraman'!$B:$B,0)),""))</f>
        <v/>
      </c>
      <c r="M167" s="128" t="str">
        <f t="array" ref="M167">IFERROR(INDEX('Mr Sandeep Kumar'!M:M,MATCH($B167,'Mr Sandeep Kumar'!$B:$B,0)),IFERROR(INDEX('Mr Manu Vikraman'!M:M,MATCH($B167,'Mr Manu Vikraman'!$B:$B,0)),""))</f>
        <v/>
      </c>
      <c r="N167" s="128" t="str">
        <f t="array" ref="N167">IFERROR(INDEX('Mr Sandeep Kumar'!N:N,MATCH($B167,'Mr Sandeep Kumar'!$B:$B,0)),IFERROR(INDEX('Mr Manu Vikraman'!N:N,MATCH($B167,'Mr Manu Vikraman'!$B:$B,0)),""))</f>
        <v/>
      </c>
      <c r="O167" s="128" t="str">
        <f t="array" ref="O167">IFERROR(INDEX('Mr Sandeep Kumar'!O:O,MATCH($B167,'Mr Sandeep Kumar'!$B:$B,0)),IFERROR(INDEX('Mr Manu Vikraman'!O:O,MATCH($B167,'Mr Manu Vikraman'!$B:$B,0)),""))</f>
        <v/>
      </c>
      <c r="P167" s="128" t="str">
        <f t="array" ref="P167">IFERROR(INDEX('Mr Sandeep Kumar'!P:P,MATCH($B167,'Mr Sandeep Kumar'!$B:$B,0)),IFERROR(INDEX('Mr Manu Vikraman'!P:P,MATCH($B167,'Mr Manu Vikraman'!$B:$B,0)),""))</f>
        <v/>
      </c>
      <c r="Q167" s="129">
        <f t="shared" si="1"/>
        <v>0</v>
      </c>
      <c r="R167" s="130">
        <f t="shared" si="2"/>
        <v>0</v>
      </c>
      <c r="S167" s="131" t="str">
        <f t="shared" si="3"/>
        <v>D</v>
      </c>
      <c r="T167" s="131" t="str">
        <f t="shared" si="4"/>
        <v>Not Started</v>
      </c>
      <c r="U167" s="132"/>
    </row>
    <row r="168" ht="21.75" customHeight="1">
      <c r="A168" s="136"/>
      <c r="B168" s="126"/>
      <c r="C168" s="126"/>
      <c r="D168" s="126"/>
      <c r="E168" s="126"/>
      <c r="F168" s="127"/>
      <c r="G168" s="128" t="str">
        <f t="array" ref="G168">IFERROR(INDEX('Mr Sandeep Kumar'!G:G,MATCH($B168,'Mr Sandeep Kumar'!$B:$B,0)),IFERROR(INDEX('Mr Manu Vikraman'!G:G,MATCH($B168,'Mr Manu Vikraman'!$B:$B,0)),""))</f>
        <v/>
      </c>
      <c r="H168" s="128" t="str">
        <f t="array" ref="H168">IFERROR(INDEX('Mr Sandeep Kumar'!H:H,MATCH($B168,'Mr Sandeep Kumar'!$B:$B,0)),IFERROR(INDEX('Mr Manu Vikraman'!H:H,MATCH($B168,'Mr Manu Vikraman'!$B:$B,0)),""))</f>
        <v/>
      </c>
      <c r="I168" s="128" t="str">
        <f t="array" ref="I168">IFERROR(INDEX('Mr Sandeep Kumar'!I:I,MATCH($B168,'Mr Sandeep Kumar'!$B:$B,0)),IFERROR(INDEX('Mr Manu Vikraman'!I:I,MATCH($B168,'Mr Manu Vikraman'!$B:$B,0)),""))</f>
        <v/>
      </c>
      <c r="J168" s="128" t="str">
        <f t="array" ref="J168">IFERROR(INDEX('Mr Sandeep Kumar'!J:J,MATCH($B168,'Mr Sandeep Kumar'!$B:$B,0)),IFERROR(INDEX('Mr Manu Vikraman'!J:J,MATCH($B168,'Mr Manu Vikraman'!$B:$B,0)),""))</f>
        <v/>
      </c>
      <c r="K168" s="128" t="str">
        <f t="array" ref="K168">IFERROR(INDEX('Mr Sandeep Kumar'!K:K,MATCH($B168,'Mr Sandeep Kumar'!$B:$B,0)),IFERROR(INDEX('Mr Manu Vikraman'!K:K,MATCH($B168,'Mr Manu Vikraman'!$B:$B,0)),""))</f>
        <v/>
      </c>
      <c r="L168" s="128" t="str">
        <f t="array" ref="L168">IFERROR(INDEX('Mr Sandeep Kumar'!L:L,MATCH($B168,'Mr Sandeep Kumar'!$B:$B,0)),IFERROR(INDEX('Mr Manu Vikraman'!L:L,MATCH($B168,'Mr Manu Vikraman'!$B:$B,0)),""))</f>
        <v/>
      </c>
      <c r="M168" s="128" t="str">
        <f t="array" ref="M168">IFERROR(INDEX('Mr Sandeep Kumar'!M:M,MATCH($B168,'Mr Sandeep Kumar'!$B:$B,0)),IFERROR(INDEX('Mr Manu Vikraman'!M:M,MATCH($B168,'Mr Manu Vikraman'!$B:$B,0)),""))</f>
        <v/>
      </c>
      <c r="N168" s="128" t="str">
        <f t="array" ref="N168">IFERROR(INDEX('Mr Sandeep Kumar'!N:N,MATCH($B168,'Mr Sandeep Kumar'!$B:$B,0)),IFERROR(INDEX('Mr Manu Vikraman'!N:N,MATCH($B168,'Mr Manu Vikraman'!$B:$B,0)),""))</f>
        <v/>
      </c>
      <c r="O168" s="128" t="str">
        <f t="array" ref="O168">IFERROR(INDEX('Mr Sandeep Kumar'!O:O,MATCH($B168,'Mr Sandeep Kumar'!$B:$B,0)),IFERROR(INDEX('Mr Manu Vikraman'!O:O,MATCH($B168,'Mr Manu Vikraman'!$B:$B,0)),""))</f>
        <v/>
      </c>
      <c r="P168" s="128" t="str">
        <f t="array" ref="P168">IFERROR(INDEX('Mr Sandeep Kumar'!P:P,MATCH($B168,'Mr Sandeep Kumar'!$B:$B,0)),IFERROR(INDEX('Mr Manu Vikraman'!P:P,MATCH($B168,'Mr Manu Vikraman'!$B:$B,0)),""))</f>
        <v/>
      </c>
      <c r="Q168" s="129">
        <f t="shared" si="1"/>
        <v>0</v>
      </c>
      <c r="R168" s="130">
        <f t="shared" si="2"/>
        <v>0</v>
      </c>
      <c r="S168" s="131" t="str">
        <f t="shared" si="3"/>
        <v>D</v>
      </c>
      <c r="T168" s="131" t="str">
        <f t="shared" si="4"/>
        <v>Not Started</v>
      </c>
      <c r="U168" s="132"/>
    </row>
    <row r="169" ht="21.75" customHeight="1">
      <c r="A169" s="136"/>
      <c r="B169" s="126"/>
      <c r="C169" s="126"/>
      <c r="D169" s="126"/>
      <c r="E169" s="126"/>
      <c r="F169" s="127"/>
      <c r="G169" s="128" t="str">
        <f t="array" ref="G169">IFERROR(INDEX('Mr Sandeep Kumar'!G:G,MATCH($B169,'Mr Sandeep Kumar'!$B:$B,0)),IFERROR(INDEX('Mr Manu Vikraman'!G:G,MATCH($B169,'Mr Manu Vikraman'!$B:$B,0)),""))</f>
        <v/>
      </c>
      <c r="H169" s="128" t="str">
        <f t="array" ref="H169">IFERROR(INDEX('Mr Sandeep Kumar'!H:H,MATCH($B169,'Mr Sandeep Kumar'!$B:$B,0)),IFERROR(INDEX('Mr Manu Vikraman'!H:H,MATCH($B169,'Mr Manu Vikraman'!$B:$B,0)),""))</f>
        <v/>
      </c>
      <c r="I169" s="128" t="str">
        <f t="array" ref="I169">IFERROR(INDEX('Mr Sandeep Kumar'!I:I,MATCH($B169,'Mr Sandeep Kumar'!$B:$B,0)),IFERROR(INDEX('Mr Manu Vikraman'!I:I,MATCH($B169,'Mr Manu Vikraman'!$B:$B,0)),""))</f>
        <v/>
      </c>
      <c r="J169" s="128" t="str">
        <f t="array" ref="J169">IFERROR(INDEX('Mr Sandeep Kumar'!J:J,MATCH($B169,'Mr Sandeep Kumar'!$B:$B,0)),IFERROR(INDEX('Mr Manu Vikraman'!J:J,MATCH($B169,'Mr Manu Vikraman'!$B:$B,0)),""))</f>
        <v/>
      </c>
      <c r="K169" s="128" t="str">
        <f t="array" ref="K169">IFERROR(INDEX('Mr Sandeep Kumar'!K:K,MATCH($B169,'Mr Sandeep Kumar'!$B:$B,0)),IFERROR(INDEX('Mr Manu Vikraman'!K:K,MATCH($B169,'Mr Manu Vikraman'!$B:$B,0)),""))</f>
        <v/>
      </c>
      <c r="L169" s="128" t="str">
        <f t="array" ref="L169">IFERROR(INDEX('Mr Sandeep Kumar'!L:L,MATCH($B169,'Mr Sandeep Kumar'!$B:$B,0)),IFERROR(INDEX('Mr Manu Vikraman'!L:L,MATCH($B169,'Mr Manu Vikraman'!$B:$B,0)),""))</f>
        <v/>
      </c>
      <c r="M169" s="128" t="str">
        <f t="array" ref="M169">IFERROR(INDEX('Mr Sandeep Kumar'!M:M,MATCH($B169,'Mr Sandeep Kumar'!$B:$B,0)),IFERROR(INDEX('Mr Manu Vikraman'!M:M,MATCH($B169,'Mr Manu Vikraman'!$B:$B,0)),""))</f>
        <v/>
      </c>
      <c r="N169" s="128" t="str">
        <f t="array" ref="N169">IFERROR(INDEX('Mr Sandeep Kumar'!N:N,MATCH($B169,'Mr Sandeep Kumar'!$B:$B,0)),IFERROR(INDEX('Mr Manu Vikraman'!N:N,MATCH($B169,'Mr Manu Vikraman'!$B:$B,0)),""))</f>
        <v/>
      </c>
      <c r="O169" s="128" t="str">
        <f t="array" ref="O169">IFERROR(INDEX('Mr Sandeep Kumar'!O:O,MATCH($B169,'Mr Sandeep Kumar'!$B:$B,0)),IFERROR(INDEX('Mr Manu Vikraman'!O:O,MATCH($B169,'Mr Manu Vikraman'!$B:$B,0)),""))</f>
        <v/>
      </c>
      <c r="P169" s="128" t="str">
        <f t="array" ref="P169">IFERROR(INDEX('Mr Sandeep Kumar'!P:P,MATCH($B169,'Mr Sandeep Kumar'!$B:$B,0)),IFERROR(INDEX('Mr Manu Vikraman'!P:P,MATCH($B169,'Mr Manu Vikraman'!$B:$B,0)),""))</f>
        <v/>
      </c>
      <c r="Q169" s="129">
        <f t="shared" si="1"/>
        <v>0</v>
      </c>
      <c r="R169" s="130">
        <f t="shared" si="2"/>
        <v>0</v>
      </c>
      <c r="S169" s="131" t="str">
        <f t="shared" si="3"/>
        <v>D</v>
      </c>
      <c r="T169" s="131" t="str">
        <f t="shared" si="4"/>
        <v>Not Started</v>
      </c>
      <c r="U169" s="132"/>
    </row>
    <row r="170" ht="21.75" customHeight="1">
      <c r="A170" s="136"/>
      <c r="B170" s="126"/>
      <c r="C170" s="126"/>
      <c r="D170" s="126"/>
      <c r="E170" s="126"/>
      <c r="F170" s="127"/>
      <c r="G170" s="128" t="str">
        <f t="array" ref="G170">IFERROR(INDEX('Mr Sandeep Kumar'!G:G,MATCH($B170,'Mr Sandeep Kumar'!$B:$B,0)),IFERROR(INDEX('Mr Manu Vikraman'!G:G,MATCH($B170,'Mr Manu Vikraman'!$B:$B,0)),""))</f>
        <v/>
      </c>
      <c r="H170" s="128" t="str">
        <f t="array" ref="H170">IFERROR(INDEX('Mr Sandeep Kumar'!H:H,MATCH($B170,'Mr Sandeep Kumar'!$B:$B,0)),IFERROR(INDEX('Mr Manu Vikraman'!H:H,MATCH($B170,'Mr Manu Vikraman'!$B:$B,0)),""))</f>
        <v/>
      </c>
      <c r="I170" s="128" t="str">
        <f t="array" ref="I170">IFERROR(INDEX('Mr Sandeep Kumar'!I:I,MATCH($B170,'Mr Sandeep Kumar'!$B:$B,0)),IFERROR(INDEX('Mr Manu Vikraman'!I:I,MATCH($B170,'Mr Manu Vikraman'!$B:$B,0)),""))</f>
        <v/>
      </c>
      <c r="J170" s="128" t="str">
        <f t="array" ref="J170">IFERROR(INDEX('Mr Sandeep Kumar'!J:J,MATCH($B170,'Mr Sandeep Kumar'!$B:$B,0)),IFERROR(INDEX('Mr Manu Vikraman'!J:J,MATCH($B170,'Mr Manu Vikraman'!$B:$B,0)),""))</f>
        <v/>
      </c>
      <c r="K170" s="128" t="str">
        <f t="array" ref="K170">IFERROR(INDEX('Mr Sandeep Kumar'!K:K,MATCH($B170,'Mr Sandeep Kumar'!$B:$B,0)),IFERROR(INDEX('Mr Manu Vikraman'!K:K,MATCH($B170,'Mr Manu Vikraman'!$B:$B,0)),""))</f>
        <v/>
      </c>
      <c r="L170" s="128" t="str">
        <f t="array" ref="L170">IFERROR(INDEX('Mr Sandeep Kumar'!L:L,MATCH($B170,'Mr Sandeep Kumar'!$B:$B,0)),IFERROR(INDEX('Mr Manu Vikraman'!L:L,MATCH($B170,'Mr Manu Vikraman'!$B:$B,0)),""))</f>
        <v/>
      </c>
      <c r="M170" s="128" t="str">
        <f t="array" ref="M170">IFERROR(INDEX('Mr Sandeep Kumar'!M:M,MATCH($B170,'Mr Sandeep Kumar'!$B:$B,0)),IFERROR(INDEX('Mr Manu Vikraman'!M:M,MATCH($B170,'Mr Manu Vikraman'!$B:$B,0)),""))</f>
        <v/>
      </c>
      <c r="N170" s="128" t="str">
        <f t="array" ref="N170">IFERROR(INDEX('Mr Sandeep Kumar'!N:N,MATCH($B170,'Mr Sandeep Kumar'!$B:$B,0)),IFERROR(INDEX('Mr Manu Vikraman'!N:N,MATCH($B170,'Mr Manu Vikraman'!$B:$B,0)),""))</f>
        <v/>
      </c>
      <c r="O170" s="128" t="str">
        <f t="array" ref="O170">IFERROR(INDEX('Mr Sandeep Kumar'!O:O,MATCH($B170,'Mr Sandeep Kumar'!$B:$B,0)),IFERROR(INDEX('Mr Manu Vikraman'!O:O,MATCH($B170,'Mr Manu Vikraman'!$B:$B,0)),""))</f>
        <v/>
      </c>
      <c r="P170" s="128" t="str">
        <f t="array" ref="P170">IFERROR(INDEX('Mr Sandeep Kumar'!P:P,MATCH($B170,'Mr Sandeep Kumar'!$B:$B,0)),IFERROR(INDEX('Mr Manu Vikraman'!P:P,MATCH($B170,'Mr Manu Vikraman'!$B:$B,0)),""))</f>
        <v/>
      </c>
      <c r="Q170" s="129">
        <f t="shared" si="1"/>
        <v>0</v>
      </c>
      <c r="R170" s="130">
        <f t="shared" si="2"/>
        <v>0</v>
      </c>
      <c r="S170" s="131" t="str">
        <f t="shared" si="3"/>
        <v>D</v>
      </c>
      <c r="T170" s="131" t="str">
        <f t="shared" si="4"/>
        <v>Not Started</v>
      </c>
      <c r="U170" s="132"/>
    </row>
    <row r="171" ht="21.75" customHeight="1">
      <c r="A171" s="136"/>
      <c r="B171" s="126"/>
      <c r="C171" s="126"/>
      <c r="D171" s="126"/>
      <c r="E171" s="126"/>
      <c r="F171" s="127"/>
      <c r="G171" s="128" t="str">
        <f t="array" ref="G171">IFERROR(INDEX('Mr Sandeep Kumar'!G:G,MATCH($B171,'Mr Sandeep Kumar'!$B:$B,0)),IFERROR(INDEX('Mr Manu Vikraman'!G:G,MATCH($B171,'Mr Manu Vikraman'!$B:$B,0)),""))</f>
        <v/>
      </c>
      <c r="H171" s="128" t="str">
        <f t="array" ref="H171">IFERROR(INDEX('Mr Sandeep Kumar'!H:H,MATCH($B171,'Mr Sandeep Kumar'!$B:$B,0)),IFERROR(INDEX('Mr Manu Vikraman'!H:H,MATCH($B171,'Mr Manu Vikraman'!$B:$B,0)),""))</f>
        <v/>
      </c>
      <c r="I171" s="128" t="str">
        <f t="array" ref="I171">IFERROR(INDEX('Mr Sandeep Kumar'!I:I,MATCH($B171,'Mr Sandeep Kumar'!$B:$B,0)),IFERROR(INDEX('Mr Manu Vikraman'!I:I,MATCH($B171,'Mr Manu Vikraman'!$B:$B,0)),""))</f>
        <v/>
      </c>
      <c r="J171" s="128" t="str">
        <f t="array" ref="J171">IFERROR(INDEX('Mr Sandeep Kumar'!J:J,MATCH($B171,'Mr Sandeep Kumar'!$B:$B,0)),IFERROR(INDEX('Mr Manu Vikraman'!J:J,MATCH($B171,'Mr Manu Vikraman'!$B:$B,0)),""))</f>
        <v/>
      </c>
      <c r="K171" s="128" t="str">
        <f t="array" ref="K171">IFERROR(INDEX('Mr Sandeep Kumar'!K:K,MATCH($B171,'Mr Sandeep Kumar'!$B:$B,0)),IFERROR(INDEX('Mr Manu Vikraman'!K:K,MATCH($B171,'Mr Manu Vikraman'!$B:$B,0)),""))</f>
        <v/>
      </c>
      <c r="L171" s="128" t="str">
        <f t="array" ref="L171">IFERROR(INDEX('Mr Sandeep Kumar'!L:L,MATCH($B171,'Mr Sandeep Kumar'!$B:$B,0)),IFERROR(INDEX('Mr Manu Vikraman'!L:L,MATCH($B171,'Mr Manu Vikraman'!$B:$B,0)),""))</f>
        <v/>
      </c>
      <c r="M171" s="128" t="str">
        <f t="array" ref="M171">IFERROR(INDEX('Mr Sandeep Kumar'!M:M,MATCH($B171,'Mr Sandeep Kumar'!$B:$B,0)),IFERROR(INDEX('Mr Manu Vikraman'!M:M,MATCH($B171,'Mr Manu Vikraman'!$B:$B,0)),""))</f>
        <v/>
      </c>
      <c r="N171" s="128" t="str">
        <f t="array" ref="N171">IFERROR(INDEX('Mr Sandeep Kumar'!N:N,MATCH($B171,'Mr Sandeep Kumar'!$B:$B,0)),IFERROR(INDEX('Mr Manu Vikraman'!N:N,MATCH($B171,'Mr Manu Vikraman'!$B:$B,0)),""))</f>
        <v/>
      </c>
      <c r="O171" s="128" t="str">
        <f t="array" ref="O171">IFERROR(INDEX('Mr Sandeep Kumar'!O:O,MATCH($B171,'Mr Sandeep Kumar'!$B:$B,0)),IFERROR(INDEX('Mr Manu Vikraman'!O:O,MATCH($B171,'Mr Manu Vikraman'!$B:$B,0)),""))</f>
        <v/>
      </c>
      <c r="P171" s="128" t="str">
        <f t="array" ref="P171">IFERROR(INDEX('Mr Sandeep Kumar'!P:P,MATCH($B171,'Mr Sandeep Kumar'!$B:$B,0)),IFERROR(INDEX('Mr Manu Vikraman'!P:P,MATCH($B171,'Mr Manu Vikraman'!$B:$B,0)),""))</f>
        <v/>
      </c>
      <c r="Q171" s="129">
        <f t="shared" si="1"/>
        <v>0</v>
      </c>
      <c r="R171" s="130">
        <f t="shared" si="2"/>
        <v>0</v>
      </c>
      <c r="S171" s="131" t="str">
        <f t="shared" si="3"/>
        <v>D</v>
      </c>
      <c r="T171" s="131" t="str">
        <f t="shared" si="4"/>
        <v>Not Started</v>
      </c>
      <c r="U171" s="132"/>
    </row>
    <row r="172" ht="21.75" customHeight="1">
      <c r="A172" s="136"/>
      <c r="B172" s="126"/>
      <c r="C172" s="126"/>
      <c r="D172" s="126"/>
      <c r="E172" s="126"/>
      <c r="F172" s="127"/>
      <c r="G172" s="128" t="str">
        <f t="array" ref="G172">IFERROR(INDEX('Mr Sandeep Kumar'!G:G,MATCH($B172,'Mr Sandeep Kumar'!$B:$B,0)),IFERROR(INDEX('Mr Manu Vikraman'!G:G,MATCH($B172,'Mr Manu Vikraman'!$B:$B,0)),""))</f>
        <v/>
      </c>
      <c r="H172" s="128" t="str">
        <f t="array" ref="H172">IFERROR(INDEX('Mr Sandeep Kumar'!H:H,MATCH($B172,'Mr Sandeep Kumar'!$B:$B,0)),IFERROR(INDEX('Mr Manu Vikraman'!H:H,MATCH($B172,'Mr Manu Vikraman'!$B:$B,0)),""))</f>
        <v/>
      </c>
      <c r="I172" s="128" t="str">
        <f t="array" ref="I172">IFERROR(INDEX('Mr Sandeep Kumar'!I:I,MATCH($B172,'Mr Sandeep Kumar'!$B:$B,0)),IFERROR(INDEX('Mr Manu Vikraman'!I:I,MATCH($B172,'Mr Manu Vikraman'!$B:$B,0)),""))</f>
        <v/>
      </c>
      <c r="J172" s="128" t="str">
        <f t="array" ref="J172">IFERROR(INDEX('Mr Sandeep Kumar'!J:J,MATCH($B172,'Mr Sandeep Kumar'!$B:$B,0)),IFERROR(INDEX('Mr Manu Vikraman'!J:J,MATCH($B172,'Mr Manu Vikraman'!$B:$B,0)),""))</f>
        <v/>
      </c>
      <c r="K172" s="128" t="str">
        <f t="array" ref="K172">IFERROR(INDEX('Mr Sandeep Kumar'!K:K,MATCH($B172,'Mr Sandeep Kumar'!$B:$B,0)),IFERROR(INDEX('Mr Manu Vikraman'!K:K,MATCH($B172,'Mr Manu Vikraman'!$B:$B,0)),""))</f>
        <v/>
      </c>
      <c r="L172" s="128" t="str">
        <f t="array" ref="L172">IFERROR(INDEX('Mr Sandeep Kumar'!L:L,MATCH($B172,'Mr Sandeep Kumar'!$B:$B,0)),IFERROR(INDEX('Mr Manu Vikraman'!L:L,MATCH($B172,'Mr Manu Vikraman'!$B:$B,0)),""))</f>
        <v/>
      </c>
      <c r="M172" s="128" t="str">
        <f t="array" ref="M172">IFERROR(INDEX('Mr Sandeep Kumar'!M:M,MATCH($B172,'Mr Sandeep Kumar'!$B:$B,0)),IFERROR(INDEX('Mr Manu Vikraman'!M:M,MATCH($B172,'Mr Manu Vikraman'!$B:$B,0)),""))</f>
        <v/>
      </c>
      <c r="N172" s="128" t="str">
        <f t="array" ref="N172">IFERROR(INDEX('Mr Sandeep Kumar'!N:N,MATCH($B172,'Mr Sandeep Kumar'!$B:$B,0)),IFERROR(INDEX('Mr Manu Vikraman'!N:N,MATCH($B172,'Mr Manu Vikraman'!$B:$B,0)),""))</f>
        <v/>
      </c>
      <c r="O172" s="128" t="str">
        <f t="array" ref="O172">IFERROR(INDEX('Mr Sandeep Kumar'!O:O,MATCH($B172,'Mr Sandeep Kumar'!$B:$B,0)),IFERROR(INDEX('Mr Manu Vikraman'!O:O,MATCH($B172,'Mr Manu Vikraman'!$B:$B,0)),""))</f>
        <v/>
      </c>
      <c r="P172" s="128" t="str">
        <f t="array" ref="P172">IFERROR(INDEX('Mr Sandeep Kumar'!P:P,MATCH($B172,'Mr Sandeep Kumar'!$B:$B,0)),IFERROR(INDEX('Mr Manu Vikraman'!P:P,MATCH($B172,'Mr Manu Vikraman'!$B:$B,0)),""))</f>
        <v/>
      </c>
      <c r="Q172" s="129">
        <f t="shared" si="1"/>
        <v>0</v>
      </c>
      <c r="R172" s="130">
        <f t="shared" si="2"/>
        <v>0</v>
      </c>
      <c r="S172" s="131" t="str">
        <f t="shared" si="3"/>
        <v>D</v>
      </c>
      <c r="T172" s="131" t="str">
        <f t="shared" si="4"/>
        <v>Not Started</v>
      </c>
      <c r="U172" s="132"/>
    </row>
    <row r="173" ht="21.75" customHeight="1">
      <c r="A173" s="136"/>
      <c r="B173" s="126"/>
      <c r="C173" s="126"/>
      <c r="D173" s="126"/>
      <c r="E173" s="126"/>
      <c r="F173" s="127"/>
      <c r="G173" s="128" t="str">
        <f t="array" ref="G173">IFERROR(INDEX('Mr Sandeep Kumar'!G:G,MATCH($B173,'Mr Sandeep Kumar'!$B:$B,0)),IFERROR(INDEX('Mr Manu Vikraman'!G:G,MATCH($B173,'Mr Manu Vikraman'!$B:$B,0)),""))</f>
        <v/>
      </c>
      <c r="H173" s="128" t="str">
        <f t="array" ref="H173">IFERROR(INDEX('Mr Sandeep Kumar'!H:H,MATCH($B173,'Mr Sandeep Kumar'!$B:$B,0)),IFERROR(INDEX('Mr Manu Vikraman'!H:H,MATCH($B173,'Mr Manu Vikraman'!$B:$B,0)),""))</f>
        <v/>
      </c>
      <c r="I173" s="128" t="str">
        <f t="array" ref="I173">IFERROR(INDEX('Mr Sandeep Kumar'!I:I,MATCH($B173,'Mr Sandeep Kumar'!$B:$B,0)),IFERROR(INDEX('Mr Manu Vikraman'!I:I,MATCH($B173,'Mr Manu Vikraman'!$B:$B,0)),""))</f>
        <v/>
      </c>
      <c r="J173" s="128" t="str">
        <f t="array" ref="J173">IFERROR(INDEX('Mr Sandeep Kumar'!J:J,MATCH($B173,'Mr Sandeep Kumar'!$B:$B,0)),IFERROR(INDEX('Mr Manu Vikraman'!J:J,MATCH($B173,'Mr Manu Vikraman'!$B:$B,0)),""))</f>
        <v/>
      </c>
      <c r="K173" s="128" t="str">
        <f t="array" ref="K173">IFERROR(INDEX('Mr Sandeep Kumar'!K:K,MATCH($B173,'Mr Sandeep Kumar'!$B:$B,0)),IFERROR(INDEX('Mr Manu Vikraman'!K:K,MATCH($B173,'Mr Manu Vikraman'!$B:$B,0)),""))</f>
        <v/>
      </c>
      <c r="L173" s="128" t="str">
        <f t="array" ref="L173">IFERROR(INDEX('Mr Sandeep Kumar'!L:L,MATCH($B173,'Mr Sandeep Kumar'!$B:$B,0)),IFERROR(INDEX('Mr Manu Vikraman'!L:L,MATCH($B173,'Mr Manu Vikraman'!$B:$B,0)),""))</f>
        <v/>
      </c>
      <c r="M173" s="128" t="str">
        <f t="array" ref="M173">IFERROR(INDEX('Mr Sandeep Kumar'!M:M,MATCH($B173,'Mr Sandeep Kumar'!$B:$B,0)),IFERROR(INDEX('Mr Manu Vikraman'!M:M,MATCH($B173,'Mr Manu Vikraman'!$B:$B,0)),""))</f>
        <v/>
      </c>
      <c r="N173" s="128" t="str">
        <f t="array" ref="N173">IFERROR(INDEX('Mr Sandeep Kumar'!N:N,MATCH($B173,'Mr Sandeep Kumar'!$B:$B,0)),IFERROR(INDEX('Mr Manu Vikraman'!N:N,MATCH($B173,'Mr Manu Vikraman'!$B:$B,0)),""))</f>
        <v/>
      </c>
      <c r="O173" s="128" t="str">
        <f t="array" ref="O173">IFERROR(INDEX('Mr Sandeep Kumar'!O:O,MATCH($B173,'Mr Sandeep Kumar'!$B:$B,0)),IFERROR(INDEX('Mr Manu Vikraman'!O:O,MATCH($B173,'Mr Manu Vikraman'!$B:$B,0)),""))</f>
        <v/>
      </c>
      <c r="P173" s="128" t="str">
        <f t="array" ref="P173">IFERROR(INDEX('Mr Sandeep Kumar'!P:P,MATCH($B173,'Mr Sandeep Kumar'!$B:$B,0)),IFERROR(INDEX('Mr Manu Vikraman'!P:P,MATCH($B173,'Mr Manu Vikraman'!$B:$B,0)),""))</f>
        <v/>
      </c>
      <c r="Q173" s="129">
        <f t="shared" si="1"/>
        <v>0</v>
      </c>
      <c r="R173" s="130">
        <f t="shared" si="2"/>
        <v>0</v>
      </c>
      <c r="S173" s="131" t="str">
        <f t="shared" si="3"/>
        <v>D</v>
      </c>
      <c r="T173" s="131" t="str">
        <f t="shared" si="4"/>
        <v>Not Started</v>
      </c>
      <c r="U173" s="132"/>
    </row>
    <row r="174" ht="21.75" customHeight="1">
      <c r="A174" s="136"/>
      <c r="B174" s="126"/>
      <c r="C174" s="126"/>
      <c r="D174" s="126"/>
      <c r="E174" s="126"/>
      <c r="F174" s="127"/>
      <c r="G174" s="128" t="str">
        <f t="array" ref="G174">IFERROR(INDEX('Mr Sandeep Kumar'!G:G,MATCH($B174,'Mr Sandeep Kumar'!$B:$B,0)),IFERROR(INDEX('Mr Manu Vikraman'!G:G,MATCH($B174,'Mr Manu Vikraman'!$B:$B,0)),""))</f>
        <v/>
      </c>
      <c r="H174" s="128" t="str">
        <f t="array" ref="H174">IFERROR(INDEX('Mr Sandeep Kumar'!H:H,MATCH($B174,'Mr Sandeep Kumar'!$B:$B,0)),IFERROR(INDEX('Mr Manu Vikraman'!H:H,MATCH($B174,'Mr Manu Vikraman'!$B:$B,0)),""))</f>
        <v/>
      </c>
      <c r="I174" s="128" t="str">
        <f t="array" ref="I174">IFERROR(INDEX('Mr Sandeep Kumar'!I:I,MATCH($B174,'Mr Sandeep Kumar'!$B:$B,0)),IFERROR(INDEX('Mr Manu Vikraman'!I:I,MATCH($B174,'Mr Manu Vikraman'!$B:$B,0)),""))</f>
        <v/>
      </c>
      <c r="J174" s="128" t="str">
        <f t="array" ref="J174">IFERROR(INDEX('Mr Sandeep Kumar'!J:J,MATCH($B174,'Mr Sandeep Kumar'!$B:$B,0)),IFERROR(INDEX('Mr Manu Vikraman'!J:J,MATCH($B174,'Mr Manu Vikraman'!$B:$B,0)),""))</f>
        <v/>
      </c>
      <c r="K174" s="128" t="str">
        <f t="array" ref="K174">IFERROR(INDEX('Mr Sandeep Kumar'!K:K,MATCH($B174,'Mr Sandeep Kumar'!$B:$B,0)),IFERROR(INDEX('Mr Manu Vikraman'!K:K,MATCH($B174,'Mr Manu Vikraman'!$B:$B,0)),""))</f>
        <v/>
      </c>
      <c r="L174" s="128" t="str">
        <f t="array" ref="L174">IFERROR(INDEX('Mr Sandeep Kumar'!L:L,MATCH($B174,'Mr Sandeep Kumar'!$B:$B,0)),IFERROR(INDEX('Mr Manu Vikraman'!L:L,MATCH($B174,'Mr Manu Vikraman'!$B:$B,0)),""))</f>
        <v/>
      </c>
      <c r="M174" s="128" t="str">
        <f t="array" ref="M174">IFERROR(INDEX('Mr Sandeep Kumar'!M:M,MATCH($B174,'Mr Sandeep Kumar'!$B:$B,0)),IFERROR(INDEX('Mr Manu Vikraman'!M:M,MATCH($B174,'Mr Manu Vikraman'!$B:$B,0)),""))</f>
        <v/>
      </c>
      <c r="N174" s="128" t="str">
        <f t="array" ref="N174">IFERROR(INDEX('Mr Sandeep Kumar'!N:N,MATCH($B174,'Mr Sandeep Kumar'!$B:$B,0)),IFERROR(INDEX('Mr Manu Vikraman'!N:N,MATCH($B174,'Mr Manu Vikraman'!$B:$B,0)),""))</f>
        <v/>
      </c>
      <c r="O174" s="128" t="str">
        <f t="array" ref="O174">IFERROR(INDEX('Mr Sandeep Kumar'!O:O,MATCH($B174,'Mr Sandeep Kumar'!$B:$B,0)),IFERROR(INDEX('Mr Manu Vikraman'!O:O,MATCH($B174,'Mr Manu Vikraman'!$B:$B,0)),""))</f>
        <v/>
      </c>
      <c r="P174" s="128" t="str">
        <f t="array" ref="P174">IFERROR(INDEX('Mr Sandeep Kumar'!P:P,MATCH($B174,'Mr Sandeep Kumar'!$B:$B,0)),IFERROR(INDEX('Mr Manu Vikraman'!P:P,MATCH($B174,'Mr Manu Vikraman'!$B:$B,0)),""))</f>
        <v/>
      </c>
      <c r="Q174" s="129">
        <f t="shared" si="1"/>
        <v>0</v>
      </c>
      <c r="R174" s="130">
        <f t="shared" si="2"/>
        <v>0</v>
      </c>
      <c r="S174" s="131" t="str">
        <f t="shared" si="3"/>
        <v>D</v>
      </c>
      <c r="T174" s="131" t="str">
        <f t="shared" si="4"/>
        <v>Not Started</v>
      </c>
      <c r="U174" s="132"/>
    </row>
    <row r="175" ht="21.75" customHeight="1">
      <c r="A175" s="136"/>
      <c r="B175" s="126"/>
      <c r="C175" s="126"/>
      <c r="D175" s="126"/>
      <c r="E175" s="126"/>
      <c r="F175" s="127"/>
      <c r="G175" s="128" t="str">
        <f t="array" ref="G175">IFERROR(INDEX('Mr Sandeep Kumar'!G:G,MATCH($B175,'Mr Sandeep Kumar'!$B:$B,0)),IFERROR(INDEX('Mr Manu Vikraman'!G:G,MATCH($B175,'Mr Manu Vikraman'!$B:$B,0)),""))</f>
        <v/>
      </c>
      <c r="H175" s="128" t="str">
        <f t="array" ref="H175">IFERROR(INDEX('Mr Sandeep Kumar'!H:H,MATCH($B175,'Mr Sandeep Kumar'!$B:$B,0)),IFERROR(INDEX('Mr Manu Vikraman'!H:H,MATCH($B175,'Mr Manu Vikraman'!$B:$B,0)),""))</f>
        <v/>
      </c>
      <c r="I175" s="128" t="str">
        <f t="array" ref="I175">IFERROR(INDEX('Mr Sandeep Kumar'!I:I,MATCH($B175,'Mr Sandeep Kumar'!$B:$B,0)),IFERROR(INDEX('Mr Manu Vikraman'!I:I,MATCH($B175,'Mr Manu Vikraman'!$B:$B,0)),""))</f>
        <v/>
      </c>
      <c r="J175" s="128" t="str">
        <f t="array" ref="J175">IFERROR(INDEX('Mr Sandeep Kumar'!J:J,MATCH($B175,'Mr Sandeep Kumar'!$B:$B,0)),IFERROR(INDEX('Mr Manu Vikraman'!J:J,MATCH($B175,'Mr Manu Vikraman'!$B:$B,0)),""))</f>
        <v/>
      </c>
      <c r="K175" s="128" t="str">
        <f t="array" ref="K175">IFERROR(INDEX('Mr Sandeep Kumar'!K:K,MATCH($B175,'Mr Sandeep Kumar'!$B:$B,0)),IFERROR(INDEX('Mr Manu Vikraman'!K:K,MATCH($B175,'Mr Manu Vikraman'!$B:$B,0)),""))</f>
        <v/>
      </c>
      <c r="L175" s="128" t="str">
        <f t="array" ref="L175">IFERROR(INDEX('Mr Sandeep Kumar'!L:L,MATCH($B175,'Mr Sandeep Kumar'!$B:$B,0)),IFERROR(INDEX('Mr Manu Vikraman'!L:L,MATCH($B175,'Mr Manu Vikraman'!$B:$B,0)),""))</f>
        <v/>
      </c>
      <c r="M175" s="128" t="str">
        <f t="array" ref="M175">IFERROR(INDEX('Mr Sandeep Kumar'!M:M,MATCH($B175,'Mr Sandeep Kumar'!$B:$B,0)),IFERROR(INDEX('Mr Manu Vikraman'!M:M,MATCH($B175,'Mr Manu Vikraman'!$B:$B,0)),""))</f>
        <v/>
      </c>
      <c r="N175" s="128" t="str">
        <f t="array" ref="N175">IFERROR(INDEX('Mr Sandeep Kumar'!N:N,MATCH($B175,'Mr Sandeep Kumar'!$B:$B,0)),IFERROR(INDEX('Mr Manu Vikraman'!N:N,MATCH($B175,'Mr Manu Vikraman'!$B:$B,0)),""))</f>
        <v/>
      </c>
      <c r="O175" s="128" t="str">
        <f t="array" ref="O175">IFERROR(INDEX('Mr Sandeep Kumar'!O:O,MATCH($B175,'Mr Sandeep Kumar'!$B:$B,0)),IFERROR(INDEX('Mr Manu Vikraman'!O:O,MATCH($B175,'Mr Manu Vikraman'!$B:$B,0)),""))</f>
        <v/>
      </c>
      <c r="P175" s="128" t="str">
        <f t="array" ref="P175">IFERROR(INDEX('Mr Sandeep Kumar'!P:P,MATCH($B175,'Mr Sandeep Kumar'!$B:$B,0)),IFERROR(INDEX('Mr Manu Vikraman'!P:P,MATCH($B175,'Mr Manu Vikraman'!$B:$B,0)),""))</f>
        <v/>
      </c>
      <c r="Q175" s="129">
        <f t="shared" si="1"/>
        <v>0</v>
      </c>
      <c r="R175" s="130">
        <f t="shared" si="2"/>
        <v>0</v>
      </c>
      <c r="S175" s="131" t="str">
        <f t="shared" si="3"/>
        <v>D</v>
      </c>
      <c r="T175" s="131" t="str">
        <f t="shared" si="4"/>
        <v>Not Started</v>
      </c>
      <c r="U175" s="132"/>
    </row>
    <row r="176" ht="21.75" customHeight="1">
      <c r="A176" s="136"/>
      <c r="B176" s="126"/>
      <c r="C176" s="126"/>
      <c r="D176" s="126"/>
      <c r="E176" s="126"/>
      <c r="F176" s="127"/>
      <c r="G176" s="128" t="str">
        <f t="array" ref="G176">IFERROR(INDEX('Mr Sandeep Kumar'!G:G,MATCH($B176,'Mr Sandeep Kumar'!$B:$B,0)),IFERROR(INDEX('Mr Manu Vikraman'!G:G,MATCH($B176,'Mr Manu Vikraman'!$B:$B,0)),""))</f>
        <v/>
      </c>
      <c r="H176" s="128" t="str">
        <f t="array" ref="H176">IFERROR(INDEX('Mr Sandeep Kumar'!H:H,MATCH($B176,'Mr Sandeep Kumar'!$B:$B,0)),IFERROR(INDEX('Mr Manu Vikraman'!H:H,MATCH($B176,'Mr Manu Vikraman'!$B:$B,0)),""))</f>
        <v/>
      </c>
      <c r="I176" s="128" t="str">
        <f t="array" ref="I176">IFERROR(INDEX('Mr Sandeep Kumar'!I:I,MATCH($B176,'Mr Sandeep Kumar'!$B:$B,0)),IFERROR(INDEX('Mr Manu Vikraman'!I:I,MATCH($B176,'Mr Manu Vikraman'!$B:$B,0)),""))</f>
        <v/>
      </c>
      <c r="J176" s="128" t="str">
        <f t="array" ref="J176">IFERROR(INDEX('Mr Sandeep Kumar'!J:J,MATCH($B176,'Mr Sandeep Kumar'!$B:$B,0)),IFERROR(INDEX('Mr Manu Vikraman'!J:J,MATCH($B176,'Mr Manu Vikraman'!$B:$B,0)),""))</f>
        <v/>
      </c>
      <c r="K176" s="128" t="str">
        <f t="array" ref="K176">IFERROR(INDEX('Mr Sandeep Kumar'!K:K,MATCH($B176,'Mr Sandeep Kumar'!$B:$B,0)),IFERROR(INDEX('Mr Manu Vikraman'!K:K,MATCH($B176,'Mr Manu Vikraman'!$B:$B,0)),""))</f>
        <v/>
      </c>
      <c r="L176" s="128" t="str">
        <f t="array" ref="L176">IFERROR(INDEX('Mr Sandeep Kumar'!L:L,MATCH($B176,'Mr Sandeep Kumar'!$B:$B,0)),IFERROR(INDEX('Mr Manu Vikraman'!L:L,MATCH($B176,'Mr Manu Vikraman'!$B:$B,0)),""))</f>
        <v/>
      </c>
      <c r="M176" s="128" t="str">
        <f t="array" ref="M176">IFERROR(INDEX('Mr Sandeep Kumar'!M:M,MATCH($B176,'Mr Sandeep Kumar'!$B:$B,0)),IFERROR(INDEX('Mr Manu Vikraman'!M:M,MATCH($B176,'Mr Manu Vikraman'!$B:$B,0)),""))</f>
        <v/>
      </c>
      <c r="N176" s="128" t="str">
        <f t="array" ref="N176">IFERROR(INDEX('Mr Sandeep Kumar'!N:N,MATCH($B176,'Mr Sandeep Kumar'!$B:$B,0)),IFERROR(INDEX('Mr Manu Vikraman'!N:N,MATCH($B176,'Mr Manu Vikraman'!$B:$B,0)),""))</f>
        <v/>
      </c>
      <c r="O176" s="128" t="str">
        <f t="array" ref="O176">IFERROR(INDEX('Mr Sandeep Kumar'!O:O,MATCH($B176,'Mr Sandeep Kumar'!$B:$B,0)),IFERROR(INDEX('Mr Manu Vikraman'!O:O,MATCH($B176,'Mr Manu Vikraman'!$B:$B,0)),""))</f>
        <v/>
      </c>
      <c r="P176" s="128" t="str">
        <f t="array" ref="P176">IFERROR(INDEX('Mr Sandeep Kumar'!P:P,MATCH($B176,'Mr Sandeep Kumar'!$B:$B,0)),IFERROR(INDEX('Mr Manu Vikraman'!P:P,MATCH($B176,'Mr Manu Vikraman'!$B:$B,0)),""))</f>
        <v/>
      </c>
      <c r="Q176" s="129">
        <f t="shared" si="1"/>
        <v>0</v>
      </c>
      <c r="R176" s="130">
        <f t="shared" si="2"/>
        <v>0</v>
      </c>
      <c r="S176" s="131" t="str">
        <f t="shared" si="3"/>
        <v>D</v>
      </c>
      <c r="T176" s="131" t="str">
        <f t="shared" si="4"/>
        <v>Not Started</v>
      </c>
      <c r="U176" s="132"/>
    </row>
    <row r="177" ht="25.5" customHeight="1">
      <c r="A177" s="137" t="s">
        <v>621</v>
      </c>
      <c r="B177" s="31"/>
      <c r="C177" s="31"/>
      <c r="D177" s="31"/>
      <c r="E177" s="31"/>
      <c r="F177" s="32"/>
      <c r="G177" s="138">
        <f t="shared" ref="G177:P177" si="5">COUNTIF(G7:G176,"&gt;0")</f>
        <v>0</v>
      </c>
      <c r="H177" s="138">
        <f t="shared" si="5"/>
        <v>0</v>
      </c>
      <c r="I177" s="138">
        <f t="shared" si="5"/>
        <v>0</v>
      </c>
      <c r="J177" s="138">
        <f t="shared" si="5"/>
        <v>0</v>
      </c>
      <c r="K177" s="138">
        <f t="shared" si="5"/>
        <v>0</v>
      </c>
      <c r="L177" s="138">
        <f t="shared" si="5"/>
        <v>0</v>
      </c>
      <c r="M177" s="138">
        <f t="shared" si="5"/>
        <v>0</v>
      </c>
      <c r="N177" s="138">
        <f t="shared" si="5"/>
        <v>0</v>
      </c>
      <c r="O177" s="138">
        <f t="shared" si="5"/>
        <v>0</v>
      </c>
      <c r="P177" s="138">
        <f t="shared" si="5"/>
        <v>0</v>
      </c>
      <c r="Q177" s="138" t="str">
        <f t="shared" ref="Q177:R177" si="6">IFERROR(AVERAGEIF(Q7:Q176,"&gt;0"),"")</f>
        <v/>
      </c>
      <c r="R177" s="139" t="str">
        <f t="shared" si="6"/>
        <v/>
      </c>
      <c r="S177" s="140"/>
      <c r="T177" s="140"/>
      <c r="U177" s="141"/>
    </row>
    <row r="178" ht="14.25" customHeight="1">
      <c r="A178" s="142"/>
      <c r="B178" s="142"/>
      <c r="C178" s="142"/>
      <c r="D178" s="142"/>
      <c r="E178" s="142"/>
      <c r="F178" s="142"/>
      <c r="G178" s="142"/>
      <c r="H178" s="142"/>
      <c r="I178" s="142"/>
      <c r="J178" s="4"/>
      <c r="K178" s="142"/>
      <c r="L178" s="142"/>
      <c r="M178" s="142"/>
      <c r="N178" s="142"/>
      <c r="O178" s="4"/>
      <c r="P178" s="4"/>
      <c r="Q178" s="142"/>
      <c r="R178" s="143"/>
      <c r="S178" s="142"/>
      <c r="T178" s="142"/>
      <c r="U178" s="142"/>
    </row>
    <row r="179" ht="14.25" customHeight="1">
      <c r="A179" s="142"/>
      <c r="B179" s="142"/>
      <c r="C179" s="142"/>
      <c r="D179" s="142"/>
      <c r="E179" s="142"/>
      <c r="F179" s="142"/>
      <c r="G179" s="142"/>
      <c r="H179" s="142"/>
      <c r="I179" s="142"/>
      <c r="J179" s="4"/>
      <c r="K179" s="142"/>
      <c r="L179" s="142"/>
      <c r="M179" s="142"/>
      <c r="N179" s="142"/>
      <c r="O179" s="4"/>
      <c r="P179" s="4"/>
      <c r="Q179" s="142"/>
      <c r="R179" s="143"/>
      <c r="S179" s="142"/>
      <c r="T179" s="142"/>
      <c r="U179" s="142"/>
    </row>
    <row r="180" ht="14.25" customHeight="1">
      <c r="A180" s="142"/>
      <c r="B180" s="142"/>
      <c r="C180" s="142"/>
      <c r="D180" s="142"/>
      <c r="E180" s="142"/>
      <c r="F180" s="142"/>
      <c r="G180" s="142"/>
      <c r="H180" s="142"/>
      <c r="I180" s="142"/>
      <c r="J180" s="4"/>
      <c r="K180" s="142"/>
      <c r="L180" s="142"/>
      <c r="M180" s="142"/>
      <c r="N180" s="142"/>
      <c r="O180" s="4"/>
      <c r="P180" s="4"/>
      <c r="Q180" s="142"/>
      <c r="R180" s="143"/>
      <c r="S180" s="142"/>
      <c r="T180" s="142"/>
      <c r="U180" s="142"/>
    </row>
    <row r="181" ht="14.25" customHeight="1">
      <c r="A181" s="142"/>
      <c r="B181" s="142"/>
      <c r="C181" s="142"/>
      <c r="D181" s="142"/>
      <c r="E181" s="142"/>
      <c r="F181" s="142"/>
      <c r="G181" s="142"/>
      <c r="H181" s="142"/>
      <c r="I181" s="142"/>
      <c r="J181" s="4"/>
      <c r="K181" s="142"/>
      <c r="L181" s="142"/>
      <c r="M181" s="142"/>
      <c r="N181" s="142"/>
      <c r="O181" s="4"/>
      <c r="P181" s="4"/>
      <c r="Q181" s="142"/>
      <c r="R181" s="143"/>
      <c r="S181" s="142"/>
      <c r="T181" s="142"/>
      <c r="U181" s="142"/>
    </row>
    <row r="182" ht="14.25" customHeight="1">
      <c r="A182" s="142"/>
      <c r="B182" s="142"/>
      <c r="C182" s="142"/>
      <c r="D182" s="142"/>
      <c r="E182" s="142"/>
      <c r="F182" s="142"/>
      <c r="G182" s="142"/>
      <c r="H182" s="142"/>
      <c r="I182" s="142"/>
      <c r="J182" s="4"/>
      <c r="K182" s="142"/>
      <c r="L182" s="142"/>
      <c r="M182" s="142"/>
      <c r="N182" s="142"/>
      <c r="O182" s="4"/>
      <c r="P182" s="4"/>
      <c r="Q182" s="142"/>
      <c r="R182" s="143"/>
      <c r="S182" s="142"/>
      <c r="T182" s="142"/>
      <c r="U182" s="142"/>
    </row>
    <row r="183" ht="9.0" customHeight="1">
      <c r="A183" s="142"/>
      <c r="B183" s="142"/>
      <c r="C183" s="142"/>
      <c r="D183" s="142"/>
      <c r="E183" s="142"/>
      <c r="F183" s="142"/>
      <c r="G183" s="142"/>
      <c r="H183" s="142"/>
      <c r="I183" s="142"/>
      <c r="J183" s="4"/>
      <c r="K183" s="142"/>
      <c r="L183" s="142"/>
      <c r="M183" s="142"/>
      <c r="N183" s="142"/>
      <c r="O183" s="4"/>
      <c r="P183" s="4"/>
      <c r="Q183" s="142"/>
      <c r="R183" s="143"/>
      <c r="S183" s="142"/>
      <c r="T183" s="142"/>
      <c r="U183" s="142"/>
    </row>
    <row r="184" ht="14.25" customHeight="1">
      <c r="A184" s="142"/>
      <c r="B184" s="142"/>
      <c r="C184" s="142"/>
      <c r="D184" s="142"/>
      <c r="E184" s="142"/>
      <c r="F184" s="142"/>
      <c r="G184" s="142"/>
      <c r="H184" s="142"/>
      <c r="I184" s="142"/>
      <c r="J184" s="4"/>
      <c r="K184" s="142"/>
      <c r="L184" s="142"/>
      <c r="M184" s="142"/>
      <c r="N184" s="142"/>
      <c r="O184" s="4"/>
      <c r="P184" s="4"/>
      <c r="Q184" s="142"/>
      <c r="R184" s="143"/>
      <c r="S184" s="142"/>
      <c r="T184" s="142"/>
      <c r="U184" s="142"/>
    </row>
    <row r="185" ht="14.25" customHeight="1">
      <c r="A185" s="142"/>
      <c r="B185" s="142"/>
      <c r="C185" s="142"/>
      <c r="D185" s="142"/>
      <c r="E185" s="142"/>
      <c r="F185" s="142"/>
      <c r="G185" s="142"/>
      <c r="H185" s="142"/>
      <c r="I185" s="142"/>
      <c r="J185" s="4"/>
      <c r="K185" s="142"/>
      <c r="L185" s="142"/>
      <c r="M185" s="142"/>
      <c r="N185" s="142"/>
      <c r="O185" s="4"/>
      <c r="P185" s="4"/>
      <c r="Q185" s="142"/>
      <c r="R185" s="143"/>
      <c r="S185" s="142"/>
      <c r="T185" s="142"/>
      <c r="U185" s="142"/>
    </row>
    <row r="186" ht="14.25" customHeight="1">
      <c r="A186" s="142"/>
      <c r="B186" s="142"/>
      <c r="C186" s="142"/>
      <c r="D186" s="142"/>
      <c r="E186" s="142"/>
      <c r="F186" s="142"/>
      <c r="G186" s="142"/>
      <c r="H186" s="142"/>
      <c r="I186" s="142"/>
      <c r="J186" s="4"/>
      <c r="K186" s="142"/>
      <c r="L186" s="142"/>
      <c r="M186" s="142"/>
      <c r="N186" s="142"/>
      <c r="O186" s="4"/>
      <c r="P186" s="4"/>
      <c r="Q186" s="142"/>
      <c r="R186" s="143"/>
      <c r="S186" s="142"/>
      <c r="T186" s="142"/>
      <c r="U186" s="142"/>
    </row>
    <row r="187" ht="14.25" customHeight="1">
      <c r="A187" s="142"/>
      <c r="B187" s="142"/>
      <c r="C187" s="142"/>
      <c r="D187" s="142"/>
      <c r="E187" s="142"/>
      <c r="F187" s="142"/>
      <c r="G187" s="142"/>
      <c r="H187" s="142"/>
      <c r="I187" s="142"/>
      <c r="J187" s="4"/>
      <c r="K187" s="142"/>
      <c r="L187" s="142"/>
      <c r="M187" s="142"/>
      <c r="N187" s="142"/>
      <c r="O187" s="4"/>
      <c r="P187" s="4"/>
      <c r="Q187" s="142"/>
      <c r="R187" s="143"/>
      <c r="S187" s="142"/>
      <c r="T187" s="142"/>
      <c r="U187" s="142"/>
    </row>
    <row r="188" ht="14.25" customHeight="1">
      <c r="A188" s="142"/>
      <c r="B188" s="142"/>
      <c r="C188" s="142"/>
      <c r="D188" s="142"/>
      <c r="E188" s="142"/>
      <c r="F188" s="142"/>
      <c r="G188" s="142"/>
      <c r="H188" s="142"/>
      <c r="I188" s="142"/>
      <c r="J188" s="4"/>
      <c r="K188" s="142"/>
      <c r="L188" s="142"/>
      <c r="M188" s="142"/>
      <c r="N188" s="142"/>
      <c r="O188" s="4"/>
      <c r="P188" s="4"/>
      <c r="Q188" s="142"/>
      <c r="R188" s="143"/>
      <c r="S188" s="142"/>
      <c r="T188" s="142"/>
      <c r="U188" s="142"/>
    </row>
    <row r="189" ht="14.25" customHeight="1">
      <c r="A189" s="142"/>
      <c r="B189" s="142"/>
      <c r="C189" s="142"/>
      <c r="D189" s="142"/>
      <c r="E189" s="142"/>
      <c r="F189" s="142"/>
      <c r="G189" s="142"/>
      <c r="H189" s="142"/>
      <c r="I189" s="142"/>
      <c r="J189" s="4"/>
      <c r="K189" s="142"/>
      <c r="L189" s="142"/>
      <c r="M189" s="142"/>
      <c r="N189" s="142"/>
      <c r="O189" s="4"/>
      <c r="P189" s="4"/>
      <c r="Q189" s="142"/>
      <c r="R189" s="143"/>
      <c r="S189" s="142"/>
      <c r="T189" s="142"/>
      <c r="U189" s="142"/>
    </row>
    <row r="190" ht="14.25" customHeight="1">
      <c r="A190" s="142"/>
      <c r="B190" s="142"/>
      <c r="C190" s="142"/>
      <c r="D190" s="142"/>
      <c r="E190" s="142"/>
      <c r="F190" s="142"/>
      <c r="G190" s="142"/>
      <c r="H190" s="142"/>
      <c r="I190" s="142"/>
      <c r="J190" s="4"/>
      <c r="K190" s="142"/>
      <c r="L190" s="142"/>
      <c r="M190" s="142"/>
      <c r="N190" s="142"/>
      <c r="O190" s="4"/>
      <c r="P190" s="4"/>
      <c r="Q190" s="142"/>
      <c r="R190" s="143"/>
      <c r="S190" s="142"/>
      <c r="T190" s="142"/>
      <c r="U190" s="142"/>
    </row>
    <row r="191" ht="14.25" customHeight="1">
      <c r="A191" s="142"/>
      <c r="B191" s="142"/>
      <c r="C191" s="142"/>
      <c r="D191" s="142"/>
      <c r="E191" s="142"/>
      <c r="F191" s="142"/>
      <c r="G191" s="142"/>
      <c r="H191" s="142"/>
      <c r="I191" s="142"/>
      <c r="J191" s="4"/>
      <c r="K191" s="142"/>
      <c r="L191" s="142"/>
      <c r="M191" s="142"/>
      <c r="N191" s="142"/>
      <c r="O191" s="4"/>
      <c r="P191" s="4"/>
      <c r="Q191" s="142"/>
      <c r="R191" s="143"/>
      <c r="S191" s="142"/>
      <c r="T191" s="142"/>
      <c r="U191" s="142"/>
    </row>
    <row r="192" ht="14.25" customHeight="1">
      <c r="A192" s="142"/>
      <c r="B192" s="142"/>
      <c r="C192" s="142"/>
      <c r="D192" s="142"/>
      <c r="E192" s="142"/>
      <c r="F192" s="142"/>
      <c r="G192" s="142"/>
      <c r="H192" s="142"/>
      <c r="I192" s="142"/>
      <c r="J192" s="4"/>
      <c r="K192" s="142"/>
      <c r="L192" s="142"/>
      <c r="M192" s="142"/>
      <c r="N192" s="142"/>
      <c r="O192" s="4"/>
      <c r="P192" s="4"/>
      <c r="Q192" s="142"/>
      <c r="R192" s="143"/>
      <c r="S192" s="142"/>
      <c r="T192" s="142"/>
      <c r="U192" s="142"/>
    </row>
    <row r="193" ht="14.25" customHeight="1">
      <c r="A193" s="142"/>
      <c r="B193" s="142"/>
      <c r="C193" s="142"/>
      <c r="D193" s="142"/>
      <c r="E193" s="142"/>
      <c r="F193" s="142"/>
      <c r="G193" s="142"/>
      <c r="H193" s="142"/>
      <c r="I193" s="142"/>
      <c r="J193" s="4"/>
      <c r="K193" s="142"/>
      <c r="L193" s="142"/>
      <c r="M193" s="142"/>
      <c r="N193" s="142"/>
      <c r="O193" s="4"/>
      <c r="P193" s="4"/>
      <c r="Q193" s="142"/>
      <c r="R193" s="143"/>
      <c r="S193" s="142"/>
      <c r="T193" s="142"/>
      <c r="U193" s="142"/>
    </row>
    <row r="194" ht="14.25" customHeight="1">
      <c r="A194" s="142"/>
      <c r="B194" s="142"/>
      <c r="C194" s="142"/>
      <c r="D194" s="142"/>
      <c r="E194" s="142"/>
      <c r="F194" s="142"/>
      <c r="G194" s="142"/>
      <c r="H194" s="142"/>
      <c r="I194" s="142"/>
      <c r="J194" s="4"/>
      <c r="K194" s="142"/>
      <c r="L194" s="142"/>
      <c r="M194" s="142"/>
      <c r="N194" s="142"/>
      <c r="O194" s="4"/>
      <c r="P194" s="4"/>
      <c r="Q194" s="142"/>
      <c r="R194" s="143"/>
      <c r="S194" s="142"/>
      <c r="T194" s="142"/>
      <c r="U194" s="142"/>
    </row>
    <row r="195" ht="14.25" customHeight="1">
      <c r="A195" s="142"/>
      <c r="B195" s="142"/>
      <c r="C195" s="142"/>
      <c r="D195" s="142"/>
      <c r="E195" s="142"/>
      <c r="F195" s="142"/>
      <c r="G195" s="142"/>
      <c r="H195" s="142"/>
      <c r="I195" s="142"/>
      <c r="J195" s="4"/>
      <c r="K195" s="142"/>
      <c r="L195" s="142"/>
      <c r="M195" s="142"/>
      <c r="N195" s="142"/>
      <c r="O195" s="4"/>
      <c r="P195" s="4"/>
      <c r="Q195" s="142"/>
      <c r="R195" s="143"/>
      <c r="S195" s="142"/>
      <c r="T195" s="142"/>
      <c r="U195" s="142"/>
    </row>
    <row r="196" ht="14.25" customHeight="1">
      <c r="A196" s="142"/>
      <c r="B196" s="142"/>
      <c r="C196" s="142"/>
      <c r="D196" s="142"/>
      <c r="E196" s="142"/>
      <c r="F196" s="142"/>
      <c r="G196" s="142"/>
      <c r="H196" s="142"/>
      <c r="I196" s="142"/>
      <c r="J196" s="4"/>
      <c r="K196" s="142"/>
      <c r="L196" s="142"/>
      <c r="M196" s="142"/>
      <c r="N196" s="142"/>
      <c r="O196" s="4"/>
      <c r="P196" s="4"/>
      <c r="Q196" s="142"/>
      <c r="R196" s="143"/>
      <c r="S196" s="142"/>
      <c r="T196" s="142"/>
      <c r="U196" s="142"/>
    </row>
    <row r="197" ht="14.25" customHeight="1">
      <c r="A197" s="142"/>
      <c r="B197" s="142"/>
      <c r="C197" s="142"/>
      <c r="D197" s="142"/>
      <c r="E197" s="142"/>
      <c r="F197" s="142"/>
      <c r="G197" s="142"/>
      <c r="H197" s="142"/>
      <c r="I197" s="142"/>
      <c r="J197" s="4"/>
      <c r="K197" s="142"/>
      <c r="L197" s="142"/>
      <c r="M197" s="142"/>
      <c r="N197" s="142"/>
      <c r="O197" s="4"/>
      <c r="P197" s="4"/>
      <c r="Q197" s="142"/>
      <c r="R197" s="143"/>
      <c r="S197" s="142"/>
      <c r="T197" s="142"/>
      <c r="U197" s="142"/>
    </row>
    <row r="198" ht="14.25" customHeight="1">
      <c r="A198" s="142"/>
      <c r="B198" s="142"/>
      <c r="C198" s="142"/>
      <c r="D198" s="142"/>
      <c r="E198" s="142"/>
      <c r="F198" s="142"/>
      <c r="G198" s="142"/>
      <c r="H198" s="142"/>
      <c r="I198" s="142"/>
      <c r="J198" s="4"/>
      <c r="K198" s="142"/>
      <c r="L198" s="142"/>
      <c r="M198" s="142"/>
      <c r="N198" s="142"/>
      <c r="O198" s="4"/>
      <c r="P198" s="4"/>
      <c r="Q198" s="142"/>
      <c r="R198" s="143"/>
      <c r="S198" s="142"/>
      <c r="T198" s="142"/>
      <c r="U198" s="142"/>
    </row>
    <row r="199" ht="14.25" customHeight="1">
      <c r="A199" s="142"/>
      <c r="B199" s="142"/>
      <c r="C199" s="142"/>
      <c r="D199" s="142"/>
      <c r="E199" s="142"/>
      <c r="F199" s="142"/>
      <c r="G199" s="142"/>
      <c r="H199" s="142"/>
      <c r="I199" s="142"/>
      <c r="J199" s="4"/>
      <c r="K199" s="142"/>
      <c r="L199" s="142"/>
      <c r="M199" s="142"/>
      <c r="N199" s="142"/>
      <c r="O199" s="4"/>
      <c r="P199" s="4"/>
      <c r="Q199" s="142"/>
      <c r="R199" s="143"/>
      <c r="S199" s="142"/>
      <c r="T199" s="142"/>
      <c r="U199" s="142"/>
    </row>
    <row r="200" ht="14.25" customHeight="1">
      <c r="A200" s="142"/>
      <c r="B200" s="142"/>
      <c r="C200" s="142"/>
      <c r="D200" s="142"/>
      <c r="E200" s="142"/>
      <c r="F200" s="142"/>
      <c r="G200" s="142"/>
      <c r="H200" s="142"/>
      <c r="I200" s="142"/>
      <c r="J200" s="4"/>
      <c r="K200" s="142"/>
      <c r="L200" s="142"/>
      <c r="M200" s="142"/>
      <c r="N200" s="142"/>
      <c r="O200" s="4"/>
      <c r="P200" s="4"/>
      <c r="Q200" s="142"/>
      <c r="R200" s="143"/>
      <c r="S200" s="142"/>
      <c r="T200" s="142"/>
      <c r="U200" s="142"/>
    </row>
    <row r="201" ht="14.25" customHeight="1">
      <c r="A201" s="142"/>
      <c r="B201" s="142"/>
      <c r="C201" s="142"/>
      <c r="D201" s="142"/>
      <c r="E201" s="142"/>
      <c r="F201" s="142"/>
      <c r="G201" s="142"/>
      <c r="H201" s="142"/>
      <c r="I201" s="142"/>
      <c r="J201" s="4"/>
      <c r="K201" s="142"/>
      <c r="L201" s="142"/>
      <c r="M201" s="142"/>
      <c r="N201" s="142"/>
      <c r="O201" s="4"/>
      <c r="P201" s="4"/>
      <c r="Q201" s="142"/>
      <c r="R201" s="143"/>
      <c r="S201" s="142"/>
      <c r="T201" s="142"/>
      <c r="U201" s="142"/>
    </row>
    <row r="202" ht="14.25" customHeight="1">
      <c r="A202" s="142"/>
      <c r="B202" s="142"/>
      <c r="C202" s="142"/>
      <c r="D202" s="142"/>
      <c r="E202" s="142"/>
      <c r="F202" s="142"/>
      <c r="G202" s="142"/>
      <c r="H202" s="142"/>
      <c r="I202" s="142"/>
      <c r="J202" s="4"/>
      <c r="K202" s="142"/>
      <c r="L202" s="142"/>
      <c r="M202" s="142"/>
      <c r="N202" s="142"/>
      <c r="O202" s="4"/>
      <c r="P202" s="4"/>
      <c r="Q202" s="142"/>
      <c r="R202" s="143"/>
      <c r="S202" s="142"/>
      <c r="T202" s="142"/>
      <c r="U202" s="142"/>
    </row>
    <row r="203" ht="14.25" customHeight="1">
      <c r="A203" s="142"/>
      <c r="B203" s="142"/>
      <c r="C203" s="142"/>
      <c r="D203" s="142"/>
      <c r="E203" s="142"/>
      <c r="F203" s="142"/>
      <c r="G203" s="142"/>
      <c r="H203" s="142"/>
      <c r="I203" s="142"/>
      <c r="J203" s="4"/>
      <c r="K203" s="142"/>
      <c r="L203" s="142"/>
      <c r="M203" s="142"/>
      <c r="N203" s="142"/>
      <c r="O203" s="4"/>
      <c r="P203" s="4"/>
      <c r="Q203" s="142"/>
      <c r="R203" s="143"/>
      <c r="S203" s="142"/>
      <c r="T203" s="142"/>
      <c r="U203" s="142"/>
    </row>
    <row r="204" ht="14.25" customHeight="1">
      <c r="A204" s="142"/>
      <c r="B204" s="142"/>
      <c r="C204" s="142"/>
      <c r="D204" s="142"/>
      <c r="E204" s="142"/>
      <c r="F204" s="142"/>
      <c r="G204" s="142"/>
      <c r="H204" s="142"/>
      <c r="I204" s="142"/>
      <c r="J204" s="4"/>
      <c r="K204" s="142"/>
      <c r="L204" s="142"/>
      <c r="M204" s="142"/>
      <c r="N204" s="142"/>
      <c r="O204" s="4"/>
      <c r="P204" s="4"/>
      <c r="Q204" s="142"/>
      <c r="R204" s="143"/>
      <c r="S204" s="142"/>
      <c r="T204" s="142"/>
      <c r="U204" s="142"/>
    </row>
    <row r="205" ht="14.25" customHeight="1">
      <c r="A205" s="142"/>
      <c r="B205" s="142"/>
      <c r="C205" s="142"/>
      <c r="D205" s="142"/>
      <c r="E205" s="142"/>
      <c r="F205" s="142"/>
      <c r="G205" s="142"/>
      <c r="H205" s="142"/>
      <c r="I205" s="142"/>
      <c r="J205" s="4"/>
      <c r="K205" s="142"/>
      <c r="L205" s="142"/>
      <c r="M205" s="142"/>
      <c r="N205" s="142"/>
      <c r="O205" s="4"/>
      <c r="P205" s="4"/>
      <c r="Q205" s="142"/>
      <c r="R205" s="143"/>
      <c r="S205" s="142"/>
      <c r="T205" s="142"/>
      <c r="U205" s="142"/>
    </row>
    <row r="206" ht="14.25" customHeight="1">
      <c r="A206" s="142"/>
      <c r="B206" s="142"/>
      <c r="C206" s="142"/>
      <c r="D206" s="142"/>
      <c r="E206" s="142"/>
      <c r="F206" s="142"/>
      <c r="G206" s="142"/>
      <c r="H206" s="142"/>
      <c r="I206" s="142"/>
      <c r="J206" s="4"/>
      <c r="K206" s="142"/>
      <c r="L206" s="142"/>
      <c r="M206" s="142"/>
      <c r="N206" s="142"/>
      <c r="O206" s="4"/>
      <c r="P206" s="4"/>
      <c r="Q206" s="142"/>
      <c r="R206" s="143"/>
      <c r="S206" s="142"/>
      <c r="T206" s="142"/>
      <c r="U206" s="142"/>
    </row>
    <row r="207" ht="14.25" customHeight="1">
      <c r="A207" s="142"/>
      <c r="B207" s="142"/>
      <c r="C207" s="142"/>
      <c r="D207" s="142"/>
      <c r="E207" s="142"/>
      <c r="F207" s="142"/>
      <c r="G207" s="142"/>
      <c r="H207" s="142"/>
      <c r="I207" s="142"/>
      <c r="J207" s="4"/>
      <c r="K207" s="142"/>
      <c r="L207" s="142"/>
      <c r="M207" s="142"/>
      <c r="N207" s="142"/>
      <c r="O207" s="4"/>
      <c r="P207" s="4"/>
      <c r="Q207" s="142"/>
      <c r="R207" s="143"/>
      <c r="S207" s="142"/>
      <c r="T207" s="142"/>
      <c r="U207" s="142"/>
    </row>
    <row r="208" ht="14.25" customHeight="1">
      <c r="A208" s="142"/>
      <c r="B208" s="142"/>
      <c r="C208" s="142"/>
      <c r="D208" s="142"/>
      <c r="E208" s="142"/>
      <c r="F208" s="142"/>
      <c r="G208" s="142"/>
      <c r="H208" s="142"/>
      <c r="I208" s="142"/>
      <c r="J208" s="4"/>
      <c r="K208" s="142"/>
      <c r="L208" s="142"/>
      <c r="M208" s="142"/>
      <c r="N208" s="142"/>
      <c r="O208" s="4"/>
      <c r="P208" s="4"/>
      <c r="Q208" s="142"/>
      <c r="R208" s="143"/>
      <c r="S208" s="142"/>
      <c r="T208" s="142"/>
      <c r="U208" s="142"/>
    </row>
    <row r="209" ht="14.25" customHeight="1">
      <c r="A209" s="142"/>
      <c r="B209" s="142"/>
      <c r="C209" s="142"/>
      <c r="D209" s="142"/>
      <c r="E209" s="142"/>
      <c r="F209" s="142"/>
      <c r="G209" s="142"/>
      <c r="H209" s="142"/>
      <c r="I209" s="142"/>
      <c r="J209" s="4"/>
      <c r="K209" s="142"/>
      <c r="L209" s="142"/>
      <c r="M209" s="142"/>
      <c r="N209" s="142"/>
      <c r="O209" s="4"/>
      <c r="P209" s="4"/>
      <c r="Q209" s="142"/>
      <c r="R209" s="143"/>
      <c r="S209" s="142"/>
      <c r="T209" s="142"/>
      <c r="U209" s="142"/>
    </row>
    <row r="210" ht="14.25" customHeight="1">
      <c r="A210" s="142"/>
      <c r="B210" s="142"/>
      <c r="C210" s="142"/>
      <c r="D210" s="142"/>
      <c r="E210" s="142"/>
      <c r="F210" s="142"/>
      <c r="G210" s="142"/>
      <c r="H210" s="142"/>
      <c r="I210" s="142"/>
      <c r="J210" s="4"/>
      <c r="K210" s="142"/>
      <c r="L210" s="142"/>
      <c r="M210" s="142"/>
      <c r="N210" s="142"/>
      <c r="O210" s="4"/>
      <c r="P210" s="4"/>
      <c r="Q210" s="142"/>
      <c r="R210" s="143"/>
      <c r="S210" s="142"/>
      <c r="T210" s="142"/>
      <c r="U210" s="142"/>
    </row>
    <row r="211" ht="14.25" customHeight="1">
      <c r="A211" s="142"/>
      <c r="B211" s="142"/>
      <c r="C211" s="142"/>
      <c r="D211" s="142"/>
      <c r="E211" s="142"/>
      <c r="F211" s="142"/>
      <c r="G211" s="142"/>
      <c r="H211" s="142"/>
      <c r="I211" s="142"/>
      <c r="J211" s="4"/>
      <c r="K211" s="142"/>
      <c r="L211" s="142"/>
      <c r="M211" s="142"/>
      <c r="N211" s="142"/>
      <c r="O211" s="4"/>
      <c r="P211" s="4"/>
      <c r="Q211" s="142"/>
      <c r="R211" s="143"/>
      <c r="S211" s="142"/>
      <c r="T211" s="142"/>
      <c r="U211" s="142"/>
    </row>
    <row r="212" ht="14.25" customHeight="1">
      <c r="A212" s="142"/>
      <c r="B212" s="142"/>
      <c r="C212" s="142"/>
      <c r="D212" s="142"/>
      <c r="E212" s="142"/>
      <c r="F212" s="142"/>
      <c r="G212" s="142"/>
      <c r="H212" s="142"/>
      <c r="I212" s="142"/>
      <c r="J212" s="4"/>
      <c r="K212" s="142"/>
      <c r="L212" s="142"/>
      <c r="M212" s="142"/>
      <c r="N212" s="142"/>
      <c r="O212" s="4"/>
      <c r="P212" s="4"/>
      <c r="Q212" s="142"/>
      <c r="R212" s="143"/>
      <c r="S212" s="142"/>
      <c r="T212" s="142"/>
      <c r="U212" s="142"/>
    </row>
    <row r="213" ht="14.25" customHeight="1">
      <c r="A213" s="142"/>
      <c r="B213" s="142"/>
      <c r="C213" s="142"/>
      <c r="D213" s="142"/>
      <c r="E213" s="142"/>
      <c r="F213" s="142"/>
      <c r="G213" s="142"/>
      <c r="H213" s="142"/>
      <c r="I213" s="142"/>
      <c r="J213" s="4"/>
      <c r="K213" s="142"/>
      <c r="L213" s="142"/>
      <c r="M213" s="142"/>
      <c r="N213" s="142"/>
      <c r="O213" s="4"/>
      <c r="P213" s="4"/>
      <c r="Q213" s="142"/>
      <c r="R213" s="143"/>
      <c r="S213" s="142"/>
      <c r="T213" s="142"/>
      <c r="U213" s="142"/>
    </row>
    <row r="214" ht="14.25" customHeight="1">
      <c r="A214" s="142"/>
      <c r="B214" s="142"/>
      <c r="C214" s="142"/>
      <c r="D214" s="142"/>
      <c r="E214" s="142"/>
      <c r="F214" s="142"/>
      <c r="G214" s="142"/>
      <c r="H214" s="142"/>
      <c r="I214" s="142"/>
      <c r="J214" s="4"/>
      <c r="K214" s="142"/>
      <c r="L214" s="142"/>
      <c r="M214" s="142"/>
      <c r="N214" s="142"/>
      <c r="O214" s="4"/>
      <c r="P214" s="4"/>
      <c r="Q214" s="142"/>
      <c r="R214" s="143"/>
      <c r="S214" s="142"/>
      <c r="T214" s="142"/>
      <c r="U214" s="142"/>
    </row>
    <row r="215" ht="14.25" customHeight="1">
      <c r="A215" s="142"/>
      <c r="B215" s="142"/>
      <c r="C215" s="142"/>
      <c r="D215" s="142"/>
      <c r="E215" s="142"/>
      <c r="F215" s="142"/>
      <c r="G215" s="142"/>
      <c r="H215" s="142"/>
      <c r="I215" s="142"/>
      <c r="J215" s="4"/>
      <c r="K215" s="142"/>
      <c r="L215" s="142"/>
      <c r="M215" s="142"/>
      <c r="N215" s="142"/>
      <c r="O215" s="4"/>
      <c r="P215" s="4"/>
      <c r="Q215" s="142"/>
      <c r="R215" s="143"/>
      <c r="S215" s="142"/>
      <c r="T215" s="142"/>
      <c r="U215" s="142"/>
    </row>
    <row r="216" ht="14.25" customHeight="1">
      <c r="A216" s="142"/>
      <c r="B216" s="142"/>
      <c r="C216" s="142"/>
      <c r="D216" s="142"/>
      <c r="E216" s="142"/>
      <c r="F216" s="142"/>
      <c r="G216" s="142"/>
      <c r="H216" s="142"/>
      <c r="I216" s="142"/>
      <c r="J216" s="4"/>
      <c r="K216" s="142"/>
      <c r="L216" s="142"/>
      <c r="M216" s="142"/>
      <c r="N216" s="142"/>
      <c r="O216" s="4"/>
      <c r="P216" s="4"/>
      <c r="Q216" s="142"/>
      <c r="R216" s="143"/>
      <c r="S216" s="142"/>
      <c r="T216" s="142"/>
      <c r="U216" s="142"/>
    </row>
    <row r="217" ht="14.25" customHeight="1">
      <c r="A217" s="142"/>
      <c r="B217" s="142"/>
      <c r="C217" s="142"/>
      <c r="D217" s="142"/>
      <c r="E217" s="142"/>
      <c r="F217" s="142"/>
      <c r="G217" s="142"/>
      <c r="H217" s="142"/>
      <c r="I217" s="142"/>
      <c r="J217" s="4"/>
      <c r="K217" s="142"/>
      <c r="L217" s="142"/>
      <c r="M217" s="142"/>
      <c r="N217" s="142"/>
      <c r="O217" s="4"/>
      <c r="P217" s="4"/>
      <c r="Q217" s="142"/>
      <c r="R217" s="143"/>
      <c r="S217" s="142"/>
      <c r="T217" s="142"/>
      <c r="U217" s="142"/>
    </row>
    <row r="218" ht="14.25" customHeight="1">
      <c r="A218" s="142"/>
      <c r="B218" s="142"/>
      <c r="C218" s="142"/>
      <c r="D218" s="142"/>
      <c r="E218" s="142"/>
      <c r="F218" s="142"/>
      <c r="G218" s="142"/>
      <c r="H218" s="142"/>
      <c r="I218" s="142"/>
      <c r="J218" s="4"/>
      <c r="K218" s="142"/>
      <c r="L218" s="142"/>
      <c r="M218" s="142"/>
      <c r="N218" s="142"/>
      <c r="O218" s="4"/>
      <c r="P218" s="4"/>
      <c r="Q218" s="142"/>
      <c r="R218" s="143"/>
      <c r="S218" s="142"/>
      <c r="T218" s="142"/>
      <c r="U218" s="142"/>
    </row>
    <row r="219" ht="14.25" customHeight="1">
      <c r="A219" s="142"/>
      <c r="B219" s="142"/>
      <c r="C219" s="142"/>
      <c r="D219" s="142"/>
      <c r="E219" s="142"/>
      <c r="F219" s="142"/>
      <c r="G219" s="142"/>
      <c r="H219" s="142"/>
      <c r="I219" s="142"/>
      <c r="J219" s="4"/>
      <c r="K219" s="142"/>
      <c r="L219" s="142"/>
      <c r="M219" s="142"/>
      <c r="N219" s="142"/>
      <c r="O219" s="4"/>
      <c r="P219" s="4"/>
      <c r="Q219" s="142"/>
      <c r="R219" s="143"/>
      <c r="S219" s="142"/>
      <c r="T219" s="142"/>
      <c r="U219" s="142"/>
    </row>
    <row r="220" ht="14.25" customHeight="1">
      <c r="A220" s="142"/>
      <c r="B220" s="142"/>
      <c r="C220" s="142"/>
      <c r="D220" s="142"/>
      <c r="E220" s="142"/>
      <c r="F220" s="142"/>
      <c r="G220" s="142"/>
      <c r="H220" s="142"/>
      <c r="I220" s="142"/>
      <c r="J220" s="4"/>
      <c r="K220" s="142"/>
      <c r="L220" s="142"/>
      <c r="M220" s="142"/>
      <c r="N220" s="142"/>
      <c r="O220" s="4"/>
      <c r="P220" s="4"/>
      <c r="Q220" s="142"/>
      <c r="R220" s="143"/>
      <c r="S220" s="142"/>
      <c r="T220" s="142"/>
      <c r="U220" s="142"/>
    </row>
    <row r="221" ht="14.25" customHeight="1">
      <c r="A221" s="142"/>
      <c r="B221" s="142"/>
      <c r="C221" s="142"/>
      <c r="D221" s="142"/>
      <c r="E221" s="142"/>
      <c r="F221" s="142"/>
      <c r="G221" s="142"/>
      <c r="H221" s="142"/>
      <c r="I221" s="142"/>
      <c r="J221" s="4"/>
      <c r="K221" s="142"/>
      <c r="L221" s="142"/>
      <c r="M221" s="142"/>
      <c r="N221" s="142"/>
      <c r="O221" s="4"/>
      <c r="P221" s="4"/>
      <c r="Q221" s="142"/>
      <c r="R221" s="143"/>
      <c r="S221" s="142"/>
      <c r="T221" s="142"/>
      <c r="U221" s="142"/>
    </row>
    <row r="222" ht="14.25" customHeight="1">
      <c r="A222" s="142"/>
      <c r="B222" s="142"/>
      <c r="C222" s="142"/>
      <c r="D222" s="142"/>
      <c r="E222" s="142"/>
      <c r="F222" s="142"/>
      <c r="G222" s="142"/>
      <c r="H222" s="142"/>
      <c r="I222" s="142"/>
      <c r="J222" s="4"/>
      <c r="K222" s="142"/>
      <c r="L222" s="142"/>
      <c r="M222" s="142"/>
      <c r="N222" s="142"/>
      <c r="O222" s="4"/>
      <c r="P222" s="4"/>
      <c r="Q222" s="142"/>
      <c r="R222" s="143"/>
      <c r="S222" s="142"/>
      <c r="T222" s="142"/>
      <c r="U222" s="142"/>
    </row>
    <row r="223" ht="14.25" customHeight="1">
      <c r="A223" s="142"/>
      <c r="B223" s="142"/>
      <c r="C223" s="142"/>
      <c r="D223" s="142"/>
      <c r="E223" s="142"/>
      <c r="F223" s="142"/>
      <c r="G223" s="142"/>
      <c r="H223" s="142"/>
      <c r="I223" s="142"/>
      <c r="J223" s="4"/>
      <c r="K223" s="142"/>
      <c r="L223" s="142"/>
      <c r="M223" s="142"/>
      <c r="N223" s="142"/>
      <c r="O223" s="4"/>
      <c r="P223" s="4"/>
      <c r="Q223" s="142"/>
      <c r="R223" s="143"/>
      <c r="S223" s="142"/>
      <c r="T223" s="142"/>
      <c r="U223" s="142"/>
    </row>
    <row r="224" ht="14.25" customHeight="1">
      <c r="A224" s="142"/>
      <c r="B224" s="142"/>
      <c r="C224" s="142"/>
      <c r="D224" s="142"/>
      <c r="E224" s="142"/>
      <c r="F224" s="142"/>
      <c r="G224" s="142"/>
      <c r="H224" s="142"/>
      <c r="I224" s="142"/>
      <c r="J224" s="4"/>
      <c r="K224" s="142"/>
      <c r="L224" s="142"/>
      <c r="M224" s="142"/>
      <c r="N224" s="142"/>
      <c r="O224" s="4"/>
      <c r="P224" s="4"/>
      <c r="Q224" s="142"/>
      <c r="R224" s="143"/>
      <c r="S224" s="142"/>
      <c r="T224" s="142"/>
      <c r="U224" s="142"/>
    </row>
    <row r="225" ht="14.25" customHeight="1">
      <c r="A225" s="142"/>
      <c r="B225" s="142"/>
      <c r="C225" s="142"/>
      <c r="D225" s="142"/>
      <c r="E225" s="142"/>
      <c r="F225" s="142"/>
      <c r="G225" s="142"/>
      <c r="H225" s="142"/>
      <c r="I225" s="142"/>
      <c r="J225" s="4"/>
      <c r="K225" s="142"/>
      <c r="L225" s="142"/>
      <c r="M225" s="142"/>
      <c r="N225" s="142"/>
      <c r="O225" s="4"/>
      <c r="P225" s="4"/>
      <c r="Q225" s="142"/>
      <c r="R225" s="143"/>
      <c r="S225" s="142"/>
      <c r="T225" s="142"/>
      <c r="U225" s="142"/>
    </row>
    <row r="226" ht="14.25" customHeight="1">
      <c r="A226" s="142"/>
      <c r="B226" s="142"/>
      <c r="C226" s="142"/>
      <c r="D226" s="142"/>
      <c r="E226" s="142"/>
      <c r="F226" s="142"/>
      <c r="G226" s="142"/>
      <c r="H226" s="142"/>
      <c r="I226" s="142"/>
      <c r="J226" s="4"/>
      <c r="K226" s="142"/>
      <c r="L226" s="142"/>
      <c r="M226" s="142"/>
      <c r="N226" s="142"/>
      <c r="O226" s="4"/>
      <c r="P226" s="4"/>
      <c r="Q226" s="142"/>
      <c r="R226" s="143"/>
      <c r="S226" s="142"/>
      <c r="T226" s="142"/>
      <c r="U226" s="142"/>
    </row>
    <row r="227" ht="14.25" customHeight="1">
      <c r="A227" s="142"/>
      <c r="B227" s="142"/>
      <c r="C227" s="142"/>
      <c r="D227" s="142"/>
      <c r="E227" s="142"/>
      <c r="F227" s="142"/>
      <c r="G227" s="142"/>
      <c r="H227" s="142"/>
      <c r="I227" s="142"/>
      <c r="J227" s="4"/>
      <c r="K227" s="142"/>
      <c r="L227" s="142"/>
      <c r="M227" s="142"/>
      <c r="N227" s="142"/>
      <c r="O227" s="4"/>
      <c r="P227" s="4"/>
      <c r="Q227" s="142"/>
      <c r="R227" s="143"/>
      <c r="S227" s="142"/>
      <c r="T227" s="142"/>
      <c r="U227" s="142"/>
    </row>
    <row r="228" ht="14.25" customHeight="1">
      <c r="A228" s="142"/>
      <c r="B228" s="142"/>
      <c r="C228" s="142"/>
      <c r="D228" s="142"/>
      <c r="E228" s="142"/>
      <c r="F228" s="142"/>
      <c r="G228" s="142"/>
      <c r="H228" s="142"/>
      <c r="I228" s="142"/>
      <c r="J228" s="4"/>
      <c r="K228" s="142"/>
      <c r="L228" s="142"/>
      <c r="M228" s="142"/>
      <c r="N228" s="142"/>
      <c r="O228" s="4"/>
      <c r="P228" s="4"/>
      <c r="Q228" s="142"/>
      <c r="R228" s="143"/>
      <c r="S228" s="142"/>
      <c r="T228" s="142"/>
      <c r="U228" s="142"/>
    </row>
    <row r="229" ht="14.25" customHeight="1">
      <c r="A229" s="142"/>
      <c r="B229" s="142"/>
      <c r="C229" s="142"/>
      <c r="D229" s="142"/>
      <c r="E229" s="142"/>
      <c r="F229" s="142"/>
      <c r="G229" s="142"/>
      <c r="H229" s="142"/>
      <c r="I229" s="142"/>
      <c r="J229" s="4"/>
      <c r="K229" s="142"/>
      <c r="L229" s="142"/>
      <c r="M229" s="142"/>
      <c r="N229" s="142"/>
      <c r="O229" s="4"/>
      <c r="P229" s="4"/>
      <c r="Q229" s="142"/>
      <c r="R229" s="143"/>
      <c r="S229" s="142"/>
      <c r="T229" s="142"/>
      <c r="U229" s="142"/>
    </row>
    <row r="230" ht="14.25" customHeight="1">
      <c r="A230" s="142"/>
      <c r="B230" s="142"/>
      <c r="C230" s="142"/>
      <c r="D230" s="142"/>
      <c r="E230" s="142"/>
      <c r="F230" s="142"/>
      <c r="G230" s="142"/>
      <c r="H230" s="142"/>
      <c r="I230" s="142"/>
      <c r="J230" s="4"/>
      <c r="K230" s="142"/>
      <c r="L230" s="142"/>
      <c r="M230" s="142"/>
      <c r="N230" s="142"/>
      <c r="O230" s="4"/>
      <c r="P230" s="4"/>
      <c r="Q230" s="142"/>
      <c r="R230" s="143"/>
      <c r="S230" s="142"/>
      <c r="T230" s="142"/>
      <c r="U230" s="142"/>
    </row>
    <row r="231" ht="14.25" customHeight="1">
      <c r="A231" s="142"/>
      <c r="B231" s="142"/>
      <c r="C231" s="142"/>
      <c r="D231" s="142"/>
      <c r="E231" s="142"/>
      <c r="F231" s="142"/>
      <c r="G231" s="142"/>
      <c r="H231" s="142"/>
      <c r="I231" s="142"/>
      <c r="J231" s="4"/>
      <c r="K231" s="142"/>
      <c r="L231" s="142"/>
      <c r="M231" s="142"/>
      <c r="N231" s="142"/>
      <c r="O231" s="4"/>
      <c r="P231" s="4"/>
      <c r="Q231" s="142"/>
      <c r="R231" s="143"/>
      <c r="S231" s="142"/>
      <c r="T231" s="142"/>
      <c r="U231" s="142"/>
    </row>
    <row r="232" ht="14.25" customHeight="1">
      <c r="A232" s="142"/>
      <c r="B232" s="142"/>
      <c r="C232" s="142"/>
      <c r="D232" s="142"/>
      <c r="E232" s="142"/>
      <c r="F232" s="142"/>
      <c r="G232" s="142"/>
      <c r="H232" s="142"/>
      <c r="I232" s="142"/>
      <c r="J232" s="4"/>
      <c r="K232" s="142"/>
      <c r="L232" s="142"/>
      <c r="M232" s="142"/>
      <c r="N232" s="142"/>
      <c r="O232" s="4"/>
      <c r="P232" s="4"/>
      <c r="Q232" s="142"/>
      <c r="R232" s="143"/>
      <c r="S232" s="142"/>
      <c r="T232" s="142"/>
      <c r="U232" s="142"/>
    </row>
    <row r="233" ht="14.25" customHeight="1">
      <c r="A233" s="142"/>
      <c r="B233" s="142"/>
      <c r="C233" s="142"/>
      <c r="D233" s="142"/>
      <c r="E233" s="142"/>
      <c r="F233" s="142"/>
      <c r="G233" s="142"/>
      <c r="H233" s="142"/>
      <c r="I233" s="142"/>
      <c r="J233" s="4"/>
      <c r="K233" s="142"/>
      <c r="L233" s="142"/>
      <c r="M233" s="142"/>
      <c r="N233" s="142"/>
      <c r="O233" s="4"/>
      <c r="P233" s="4"/>
      <c r="Q233" s="142"/>
      <c r="R233" s="143"/>
      <c r="S233" s="142"/>
      <c r="T233" s="142"/>
      <c r="U233" s="142"/>
    </row>
    <row r="234" ht="14.25" customHeight="1">
      <c r="A234" s="142"/>
      <c r="B234" s="142"/>
      <c r="C234" s="142"/>
      <c r="D234" s="142"/>
      <c r="E234" s="142"/>
      <c r="F234" s="142"/>
      <c r="G234" s="142"/>
      <c r="H234" s="142"/>
      <c r="I234" s="142"/>
      <c r="J234" s="4"/>
      <c r="K234" s="142"/>
      <c r="L234" s="142"/>
      <c r="M234" s="142"/>
      <c r="N234" s="142"/>
      <c r="O234" s="4"/>
      <c r="P234" s="4"/>
      <c r="Q234" s="142"/>
      <c r="R234" s="143"/>
      <c r="S234" s="142"/>
      <c r="T234" s="142"/>
      <c r="U234" s="142"/>
    </row>
    <row r="235" ht="14.25" customHeight="1">
      <c r="A235" s="142"/>
      <c r="B235" s="142"/>
      <c r="C235" s="142"/>
      <c r="D235" s="142"/>
      <c r="E235" s="142"/>
      <c r="F235" s="142"/>
      <c r="G235" s="142"/>
      <c r="H235" s="142"/>
      <c r="I235" s="142"/>
      <c r="J235" s="4"/>
      <c r="K235" s="142"/>
      <c r="L235" s="142"/>
      <c r="M235" s="142"/>
      <c r="N235" s="142"/>
      <c r="O235" s="4"/>
      <c r="P235" s="4"/>
      <c r="Q235" s="142"/>
      <c r="R235" s="143"/>
      <c r="S235" s="142"/>
      <c r="T235" s="142"/>
      <c r="U235" s="142"/>
    </row>
    <row r="236" ht="14.25" customHeight="1">
      <c r="A236" s="142"/>
      <c r="B236" s="142"/>
      <c r="C236" s="142"/>
      <c r="D236" s="142"/>
      <c r="E236" s="142"/>
      <c r="F236" s="142"/>
      <c r="G236" s="142"/>
      <c r="H236" s="142"/>
      <c r="I236" s="142"/>
      <c r="J236" s="4"/>
      <c r="K236" s="142"/>
      <c r="L236" s="142"/>
      <c r="M236" s="142"/>
      <c r="N236" s="142"/>
      <c r="O236" s="4"/>
      <c r="P236" s="4"/>
      <c r="Q236" s="142"/>
      <c r="R236" s="143"/>
      <c r="S236" s="142"/>
      <c r="T236" s="142"/>
      <c r="U236" s="142"/>
    </row>
    <row r="237" ht="14.25" customHeight="1">
      <c r="A237" s="142"/>
      <c r="B237" s="142"/>
      <c r="C237" s="142"/>
      <c r="D237" s="142"/>
      <c r="E237" s="142"/>
      <c r="F237" s="142"/>
      <c r="G237" s="142"/>
      <c r="H237" s="142"/>
      <c r="I237" s="142"/>
      <c r="J237" s="4"/>
      <c r="K237" s="142"/>
      <c r="L237" s="142"/>
      <c r="M237" s="142"/>
      <c r="N237" s="142"/>
      <c r="O237" s="4"/>
      <c r="P237" s="4"/>
      <c r="Q237" s="142"/>
      <c r="R237" s="143"/>
      <c r="S237" s="142"/>
      <c r="T237" s="142"/>
      <c r="U237" s="142"/>
    </row>
    <row r="238" ht="14.25" customHeight="1">
      <c r="A238" s="142"/>
      <c r="B238" s="142"/>
      <c r="C238" s="142"/>
      <c r="D238" s="142"/>
      <c r="E238" s="142"/>
      <c r="F238" s="142"/>
      <c r="G238" s="142"/>
      <c r="H238" s="142"/>
      <c r="I238" s="142"/>
      <c r="J238" s="4"/>
      <c r="K238" s="142"/>
      <c r="L238" s="142"/>
      <c r="M238" s="142"/>
      <c r="N238" s="142"/>
      <c r="O238" s="4"/>
      <c r="P238" s="4"/>
      <c r="Q238" s="142"/>
      <c r="R238" s="143"/>
      <c r="S238" s="142"/>
      <c r="T238" s="142"/>
      <c r="U238" s="142"/>
    </row>
    <row r="239" ht="14.25" customHeight="1">
      <c r="A239" s="142"/>
      <c r="B239" s="142"/>
      <c r="C239" s="142"/>
      <c r="D239" s="142"/>
      <c r="E239" s="142"/>
      <c r="F239" s="142"/>
      <c r="G239" s="142"/>
      <c r="H239" s="142"/>
      <c r="I239" s="142"/>
      <c r="J239" s="4"/>
      <c r="K239" s="142"/>
      <c r="L239" s="142"/>
      <c r="M239" s="142"/>
      <c r="N239" s="142"/>
      <c r="O239" s="4"/>
      <c r="P239" s="4"/>
      <c r="Q239" s="142"/>
      <c r="R239" s="143"/>
      <c r="S239" s="142"/>
      <c r="T239" s="142"/>
      <c r="U239" s="142"/>
    </row>
    <row r="240" ht="14.25" customHeight="1">
      <c r="A240" s="142"/>
      <c r="B240" s="142"/>
      <c r="C240" s="142"/>
      <c r="D240" s="142"/>
      <c r="E240" s="142"/>
      <c r="F240" s="142"/>
      <c r="G240" s="142"/>
      <c r="H240" s="142"/>
      <c r="I240" s="142"/>
      <c r="J240" s="4"/>
      <c r="K240" s="142"/>
      <c r="L240" s="142"/>
      <c r="M240" s="142"/>
      <c r="N240" s="142"/>
      <c r="O240" s="4"/>
      <c r="P240" s="4"/>
      <c r="Q240" s="142"/>
      <c r="R240" s="143"/>
      <c r="S240" s="142"/>
      <c r="T240" s="142"/>
      <c r="U240" s="142"/>
    </row>
    <row r="241" ht="14.25" customHeight="1">
      <c r="A241" s="142"/>
      <c r="B241" s="142"/>
      <c r="C241" s="142"/>
      <c r="D241" s="142"/>
      <c r="E241" s="142"/>
      <c r="F241" s="142"/>
      <c r="G241" s="142"/>
      <c r="H241" s="142"/>
      <c r="I241" s="142"/>
      <c r="J241" s="4"/>
      <c r="K241" s="142"/>
      <c r="L241" s="142"/>
      <c r="M241" s="142"/>
      <c r="N241" s="142"/>
      <c r="O241" s="4"/>
      <c r="P241" s="4"/>
      <c r="Q241" s="142"/>
      <c r="R241" s="143"/>
      <c r="S241" s="142"/>
      <c r="T241" s="142"/>
      <c r="U241" s="142"/>
    </row>
    <row r="242" ht="14.25" customHeight="1">
      <c r="A242" s="142"/>
      <c r="B242" s="142"/>
      <c r="C242" s="142"/>
      <c r="D242" s="142"/>
      <c r="E242" s="142"/>
      <c r="F242" s="142"/>
      <c r="G242" s="142"/>
      <c r="H242" s="142"/>
      <c r="I242" s="142"/>
      <c r="J242" s="4"/>
      <c r="K242" s="142"/>
      <c r="L242" s="142"/>
      <c r="M242" s="142"/>
      <c r="N242" s="142"/>
      <c r="O242" s="4"/>
      <c r="P242" s="4"/>
      <c r="Q242" s="142"/>
      <c r="R242" s="143"/>
      <c r="S242" s="142"/>
      <c r="T242" s="142"/>
      <c r="U242" s="142"/>
    </row>
    <row r="243" ht="14.25" customHeight="1">
      <c r="A243" s="142"/>
      <c r="B243" s="142"/>
      <c r="C243" s="142"/>
      <c r="D243" s="142"/>
      <c r="E243" s="142"/>
      <c r="F243" s="142"/>
      <c r="G243" s="142"/>
      <c r="H243" s="142"/>
      <c r="I243" s="142"/>
      <c r="J243" s="4"/>
      <c r="K243" s="142"/>
      <c r="L243" s="142"/>
      <c r="M243" s="142"/>
      <c r="N243" s="142"/>
      <c r="O243" s="4"/>
      <c r="P243" s="4"/>
      <c r="Q243" s="142"/>
      <c r="R243" s="143"/>
      <c r="S243" s="142"/>
      <c r="T243" s="142"/>
      <c r="U243" s="142"/>
    </row>
    <row r="244" ht="14.25" customHeight="1">
      <c r="A244" s="142"/>
      <c r="B244" s="142"/>
      <c r="C244" s="142"/>
      <c r="D244" s="142"/>
      <c r="E244" s="142"/>
      <c r="F244" s="142"/>
      <c r="G244" s="142"/>
      <c r="H244" s="142"/>
      <c r="I244" s="142"/>
      <c r="J244" s="4"/>
      <c r="K244" s="142"/>
      <c r="L244" s="142"/>
      <c r="M244" s="142"/>
      <c r="N244" s="142"/>
      <c r="O244" s="4"/>
      <c r="P244" s="4"/>
      <c r="Q244" s="142"/>
      <c r="R244" s="143"/>
      <c r="S244" s="142"/>
      <c r="T244" s="142"/>
      <c r="U244" s="142"/>
    </row>
    <row r="245" ht="14.25" customHeight="1">
      <c r="A245" s="142"/>
      <c r="B245" s="142"/>
      <c r="C245" s="142"/>
      <c r="D245" s="142"/>
      <c r="E245" s="142"/>
      <c r="F245" s="142"/>
      <c r="G245" s="142"/>
      <c r="H245" s="142"/>
      <c r="I245" s="142"/>
      <c r="J245" s="4"/>
      <c r="K245" s="142"/>
      <c r="L245" s="142"/>
      <c r="M245" s="142"/>
      <c r="N245" s="142"/>
      <c r="O245" s="4"/>
      <c r="P245" s="4"/>
      <c r="Q245" s="142"/>
      <c r="R245" s="143"/>
      <c r="S245" s="142"/>
      <c r="T245" s="142"/>
      <c r="U245" s="142"/>
    </row>
    <row r="246" ht="14.25" customHeight="1">
      <c r="A246" s="142"/>
      <c r="B246" s="142"/>
      <c r="C246" s="142"/>
      <c r="D246" s="142"/>
      <c r="E246" s="142"/>
      <c r="F246" s="142"/>
      <c r="G246" s="142"/>
      <c r="H246" s="142"/>
      <c r="I246" s="142"/>
      <c r="J246" s="4"/>
      <c r="K246" s="142"/>
      <c r="L246" s="142"/>
      <c r="M246" s="142"/>
      <c r="N246" s="142"/>
      <c r="O246" s="4"/>
      <c r="P246" s="4"/>
      <c r="Q246" s="142"/>
      <c r="R246" s="143"/>
      <c r="S246" s="142"/>
      <c r="T246" s="142"/>
      <c r="U246" s="142"/>
    </row>
    <row r="247" ht="14.25" customHeight="1">
      <c r="A247" s="142"/>
      <c r="B247" s="142"/>
      <c r="C247" s="142"/>
      <c r="D247" s="142"/>
      <c r="E247" s="142"/>
      <c r="F247" s="142"/>
      <c r="G247" s="142"/>
      <c r="H247" s="142"/>
      <c r="I247" s="142"/>
      <c r="J247" s="4"/>
      <c r="K247" s="142"/>
      <c r="L247" s="142"/>
      <c r="M247" s="142"/>
      <c r="N247" s="142"/>
      <c r="O247" s="4"/>
      <c r="P247" s="4"/>
      <c r="Q247" s="142"/>
      <c r="R247" s="143"/>
      <c r="S247" s="142"/>
      <c r="T247" s="142"/>
      <c r="U247" s="142"/>
    </row>
    <row r="248" ht="14.25" customHeight="1">
      <c r="A248" s="142"/>
      <c r="B248" s="142"/>
      <c r="C248" s="142"/>
      <c r="D248" s="142"/>
      <c r="E248" s="142"/>
      <c r="F248" s="142"/>
      <c r="G248" s="142"/>
      <c r="H248" s="142"/>
      <c r="I248" s="142"/>
      <c r="J248" s="4"/>
      <c r="K248" s="142"/>
      <c r="L248" s="142"/>
      <c r="M248" s="142"/>
      <c r="N248" s="142"/>
      <c r="O248" s="4"/>
      <c r="P248" s="4"/>
      <c r="Q248" s="142"/>
      <c r="R248" s="143"/>
      <c r="S248" s="142"/>
      <c r="T248" s="142"/>
      <c r="U248" s="142"/>
    </row>
    <row r="249" ht="14.25" customHeight="1">
      <c r="A249" s="142"/>
      <c r="B249" s="142"/>
      <c r="C249" s="142"/>
      <c r="D249" s="142"/>
      <c r="E249" s="142"/>
      <c r="F249" s="142"/>
      <c r="G249" s="142"/>
      <c r="H249" s="142"/>
      <c r="I249" s="142"/>
      <c r="J249" s="4"/>
      <c r="K249" s="142"/>
      <c r="L249" s="142"/>
      <c r="M249" s="142"/>
      <c r="N249" s="142"/>
      <c r="O249" s="4"/>
      <c r="P249" s="4"/>
      <c r="Q249" s="142"/>
      <c r="R249" s="143"/>
      <c r="S249" s="142"/>
      <c r="T249" s="142"/>
      <c r="U249" s="142"/>
    </row>
    <row r="250" ht="14.25" customHeight="1">
      <c r="A250" s="142"/>
      <c r="B250" s="142"/>
      <c r="C250" s="142"/>
      <c r="D250" s="142"/>
      <c r="E250" s="142"/>
      <c r="F250" s="142"/>
      <c r="G250" s="142"/>
      <c r="H250" s="142"/>
      <c r="I250" s="142"/>
      <c r="J250" s="4"/>
      <c r="K250" s="142"/>
      <c r="L250" s="142"/>
      <c r="M250" s="142"/>
      <c r="N250" s="142"/>
      <c r="O250" s="4"/>
      <c r="P250" s="4"/>
      <c r="Q250" s="142"/>
      <c r="R250" s="143"/>
      <c r="S250" s="142"/>
      <c r="T250" s="142"/>
      <c r="U250" s="142"/>
    </row>
    <row r="251" ht="14.25" customHeight="1">
      <c r="A251" s="142"/>
      <c r="B251" s="142"/>
      <c r="C251" s="142"/>
      <c r="D251" s="142"/>
      <c r="E251" s="142"/>
      <c r="F251" s="142"/>
      <c r="G251" s="142"/>
      <c r="H251" s="142"/>
      <c r="I251" s="142"/>
      <c r="J251" s="4"/>
      <c r="K251" s="142"/>
      <c r="L251" s="142"/>
      <c r="M251" s="142"/>
      <c r="N251" s="142"/>
      <c r="O251" s="4"/>
      <c r="P251" s="4"/>
      <c r="Q251" s="142"/>
      <c r="R251" s="143"/>
      <c r="S251" s="142"/>
      <c r="T251" s="142"/>
      <c r="U251" s="142"/>
    </row>
    <row r="252" ht="14.25" customHeight="1">
      <c r="A252" s="142"/>
      <c r="B252" s="142"/>
      <c r="C252" s="142"/>
      <c r="D252" s="142"/>
      <c r="E252" s="142"/>
      <c r="F252" s="142"/>
      <c r="G252" s="142"/>
      <c r="H252" s="142"/>
      <c r="I252" s="142"/>
      <c r="J252" s="4"/>
      <c r="K252" s="142"/>
      <c r="L252" s="142"/>
      <c r="M252" s="142"/>
      <c r="N252" s="142"/>
      <c r="O252" s="4"/>
      <c r="P252" s="4"/>
      <c r="Q252" s="142"/>
      <c r="R252" s="143"/>
      <c r="S252" s="142"/>
      <c r="T252" s="142"/>
      <c r="U252" s="142"/>
    </row>
    <row r="253" ht="14.25" customHeight="1">
      <c r="A253" s="142"/>
      <c r="B253" s="142"/>
      <c r="C253" s="142"/>
      <c r="D253" s="142"/>
      <c r="E253" s="142"/>
      <c r="F253" s="142"/>
      <c r="G253" s="142"/>
      <c r="H253" s="142"/>
      <c r="I253" s="142"/>
      <c r="J253" s="4"/>
      <c r="K253" s="142"/>
      <c r="L253" s="142"/>
      <c r="M253" s="142"/>
      <c r="N253" s="142"/>
      <c r="O253" s="4"/>
      <c r="P253" s="4"/>
      <c r="Q253" s="142"/>
      <c r="R253" s="143"/>
      <c r="S253" s="142"/>
      <c r="T253" s="142"/>
      <c r="U253" s="142"/>
    </row>
    <row r="254" ht="14.25" customHeight="1">
      <c r="A254" s="142"/>
      <c r="B254" s="142"/>
      <c r="C254" s="142"/>
      <c r="D254" s="142"/>
      <c r="E254" s="142"/>
      <c r="F254" s="142"/>
      <c r="G254" s="142"/>
      <c r="H254" s="142"/>
      <c r="I254" s="142"/>
      <c r="J254" s="4"/>
      <c r="K254" s="142"/>
      <c r="L254" s="142"/>
      <c r="M254" s="142"/>
      <c r="N254" s="142"/>
      <c r="O254" s="4"/>
      <c r="P254" s="4"/>
      <c r="Q254" s="142"/>
      <c r="R254" s="143"/>
      <c r="S254" s="142"/>
      <c r="T254" s="142"/>
      <c r="U254" s="142"/>
    </row>
    <row r="255" ht="14.25" customHeight="1">
      <c r="A255" s="142"/>
      <c r="B255" s="142"/>
      <c r="C255" s="142"/>
      <c r="D255" s="142"/>
      <c r="E255" s="142"/>
      <c r="F255" s="142"/>
      <c r="G255" s="142"/>
      <c r="H255" s="142"/>
      <c r="I255" s="142"/>
      <c r="J255" s="4"/>
      <c r="K255" s="142"/>
      <c r="L255" s="142"/>
      <c r="M255" s="142"/>
      <c r="N255" s="142"/>
      <c r="O255" s="4"/>
      <c r="P255" s="4"/>
      <c r="Q255" s="142"/>
      <c r="R255" s="143"/>
      <c r="S255" s="142"/>
      <c r="T255" s="142"/>
      <c r="U255" s="142"/>
    </row>
    <row r="256" ht="14.25" customHeight="1">
      <c r="A256" s="142"/>
      <c r="B256" s="142"/>
      <c r="C256" s="142"/>
      <c r="D256" s="142"/>
      <c r="E256" s="142"/>
      <c r="F256" s="142"/>
      <c r="G256" s="142"/>
      <c r="H256" s="142"/>
      <c r="I256" s="142"/>
      <c r="J256" s="4"/>
      <c r="K256" s="142"/>
      <c r="L256" s="142"/>
      <c r="M256" s="142"/>
      <c r="N256" s="142"/>
      <c r="O256" s="4"/>
      <c r="P256" s="4"/>
      <c r="Q256" s="142"/>
      <c r="R256" s="143"/>
      <c r="S256" s="142"/>
      <c r="T256" s="142"/>
      <c r="U256" s="142"/>
    </row>
    <row r="257" ht="14.25" customHeight="1">
      <c r="A257" s="142"/>
      <c r="B257" s="142"/>
      <c r="C257" s="142"/>
      <c r="D257" s="142"/>
      <c r="E257" s="142"/>
      <c r="F257" s="142"/>
      <c r="G257" s="142"/>
      <c r="H257" s="142"/>
      <c r="I257" s="142"/>
      <c r="J257" s="4"/>
      <c r="K257" s="142"/>
      <c r="L257" s="142"/>
      <c r="M257" s="142"/>
      <c r="N257" s="142"/>
      <c r="O257" s="4"/>
      <c r="P257" s="4"/>
      <c r="Q257" s="142"/>
      <c r="R257" s="143"/>
      <c r="S257" s="142"/>
      <c r="T257" s="142"/>
      <c r="U257" s="142"/>
    </row>
    <row r="258" ht="14.25" customHeight="1">
      <c r="A258" s="142"/>
      <c r="B258" s="142"/>
      <c r="C258" s="142"/>
      <c r="D258" s="142"/>
      <c r="E258" s="142"/>
      <c r="F258" s="142"/>
      <c r="G258" s="142"/>
      <c r="H258" s="142"/>
      <c r="I258" s="142"/>
      <c r="J258" s="4"/>
      <c r="K258" s="142"/>
      <c r="L258" s="142"/>
      <c r="M258" s="142"/>
      <c r="N258" s="142"/>
      <c r="O258" s="4"/>
      <c r="P258" s="4"/>
      <c r="Q258" s="142"/>
      <c r="R258" s="143"/>
      <c r="S258" s="142"/>
      <c r="T258" s="142"/>
      <c r="U258" s="142"/>
    </row>
    <row r="259" ht="14.25" customHeight="1">
      <c r="A259" s="142"/>
      <c r="B259" s="142"/>
      <c r="C259" s="142"/>
      <c r="D259" s="142"/>
      <c r="E259" s="142"/>
      <c r="F259" s="142"/>
      <c r="G259" s="142"/>
      <c r="H259" s="142"/>
      <c r="I259" s="142"/>
      <c r="J259" s="4"/>
      <c r="K259" s="142"/>
      <c r="L259" s="142"/>
      <c r="M259" s="142"/>
      <c r="N259" s="142"/>
      <c r="O259" s="4"/>
      <c r="P259" s="4"/>
      <c r="Q259" s="142"/>
      <c r="R259" s="143"/>
      <c r="S259" s="142"/>
      <c r="T259" s="142"/>
      <c r="U259" s="142"/>
    </row>
    <row r="260" ht="14.25" customHeight="1">
      <c r="A260" s="142"/>
      <c r="B260" s="142"/>
      <c r="C260" s="142"/>
      <c r="D260" s="142"/>
      <c r="E260" s="142"/>
      <c r="F260" s="142"/>
      <c r="G260" s="142"/>
      <c r="H260" s="142"/>
      <c r="I260" s="142"/>
      <c r="J260" s="4"/>
      <c r="K260" s="142"/>
      <c r="L260" s="142"/>
      <c r="M260" s="142"/>
      <c r="N260" s="142"/>
      <c r="O260" s="4"/>
      <c r="P260" s="4"/>
      <c r="Q260" s="142"/>
      <c r="R260" s="143"/>
      <c r="S260" s="142"/>
      <c r="T260" s="142"/>
      <c r="U260" s="142"/>
    </row>
    <row r="261" ht="14.25" customHeight="1">
      <c r="A261" s="142"/>
      <c r="B261" s="142"/>
      <c r="C261" s="142"/>
      <c r="D261" s="142"/>
      <c r="E261" s="142"/>
      <c r="F261" s="142"/>
      <c r="G261" s="142"/>
      <c r="H261" s="142"/>
      <c r="I261" s="142"/>
      <c r="J261" s="4"/>
      <c r="K261" s="142"/>
      <c r="L261" s="142"/>
      <c r="M261" s="142"/>
      <c r="N261" s="142"/>
      <c r="O261" s="4"/>
      <c r="P261" s="4"/>
      <c r="Q261" s="142"/>
      <c r="R261" s="143"/>
      <c r="S261" s="142"/>
      <c r="T261" s="142"/>
      <c r="U261" s="142"/>
    </row>
    <row r="262" ht="14.25" customHeight="1">
      <c r="A262" s="142"/>
      <c r="B262" s="142"/>
      <c r="C262" s="142"/>
      <c r="D262" s="142"/>
      <c r="E262" s="142"/>
      <c r="F262" s="142"/>
      <c r="G262" s="142"/>
      <c r="H262" s="142"/>
      <c r="I262" s="142"/>
      <c r="J262" s="4"/>
      <c r="K262" s="142"/>
      <c r="L262" s="142"/>
      <c r="M262" s="142"/>
      <c r="N262" s="142"/>
      <c r="O262" s="4"/>
      <c r="P262" s="4"/>
      <c r="Q262" s="142"/>
      <c r="R262" s="143"/>
      <c r="S262" s="142"/>
      <c r="T262" s="142"/>
      <c r="U262" s="142"/>
    </row>
    <row r="263" ht="14.25" customHeight="1">
      <c r="A263" s="142"/>
      <c r="B263" s="142"/>
      <c r="C263" s="142"/>
      <c r="D263" s="142"/>
      <c r="E263" s="142"/>
      <c r="F263" s="142"/>
      <c r="G263" s="142"/>
      <c r="H263" s="142"/>
      <c r="I263" s="142"/>
      <c r="J263" s="4"/>
      <c r="K263" s="142"/>
      <c r="L263" s="142"/>
      <c r="M263" s="142"/>
      <c r="N263" s="142"/>
      <c r="O263" s="4"/>
      <c r="P263" s="4"/>
      <c r="Q263" s="142"/>
      <c r="R263" s="143"/>
      <c r="S263" s="142"/>
      <c r="T263" s="142"/>
      <c r="U263" s="142"/>
    </row>
    <row r="264" ht="14.25" customHeight="1">
      <c r="A264" s="142"/>
      <c r="B264" s="142"/>
      <c r="C264" s="142"/>
      <c r="D264" s="142"/>
      <c r="E264" s="142"/>
      <c r="F264" s="142"/>
      <c r="G264" s="142"/>
      <c r="H264" s="142"/>
      <c r="I264" s="142"/>
      <c r="J264" s="4"/>
      <c r="K264" s="142"/>
      <c r="L264" s="142"/>
      <c r="M264" s="142"/>
      <c r="N264" s="142"/>
      <c r="O264" s="4"/>
      <c r="P264" s="4"/>
      <c r="Q264" s="142"/>
      <c r="R264" s="143"/>
      <c r="S264" s="142"/>
      <c r="T264" s="142"/>
      <c r="U264" s="142"/>
    </row>
    <row r="265" ht="14.25" customHeight="1">
      <c r="A265" s="142"/>
      <c r="B265" s="142"/>
      <c r="C265" s="142"/>
      <c r="D265" s="142"/>
      <c r="E265" s="142"/>
      <c r="F265" s="142"/>
      <c r="G265" s="142"/>
      <c r="H265" s="142"/>
      <c r="I265" s="142"/>
      <c r="J265" s="4"/>
      <c r="K265" s="142"/>
      <c r="L265" s="142"/>
      <c r="M265" s="142"/>
      <c r="N265" s="142"/>
      <c r="O265" s="4"/>
      <c r="P265" s="4"/>
      <c r="Q265" s="142"/>
      <c r="R265" s="143"/>
      <c r="S265" s="142"/>
      <c r="T265" s="142"/>
      <c r="U265" s="142"/>
    </row>
    <row r="266" ht="14.25" customHeight="1">
      <c r="A266" s="142"/>
      <c r="B266" s="142"/>
      <c r="C266" s="142"/>
      <c r="D266" s="142"/>
      <c r="E266" s="142"/>
      <c r="F266" s="142"/>
      <c r="G266" s="142"/>
      <c r="H266" s="142"/>
      <c r="I266" s="142"/>
      <c r="J266" s="4"/>
      <c r="K266" s="142"/>
      <c r="L266" s="142"/>
      <c r="M266" s="142"/>
      <c r="N266" s="142"/>
      <c r="O266" s="4"/>
      <c r="P266" s="4"/>
      <c r="Q266" s="142"/>
      <c r="R266" s="143"/>
      <c r="S266" s="142"/>
      <c r="T266" s="142"/>
      <c r="U266" s="142"/>
    </row>
    <row r="267" ht="14.25" customHeight="1">
      <c r="A267" s="142"/>
      <c r="B267" s="142"/>
      <c r="C267" s="142"/>
      <c r="D267" s="142"/>
      <c r="E267" s="142"/>
      <c r="F267" s="142"/>
      <c r="G267" s="142"/>
      <c r="H267" s="142"/>
      <c r="I267" s="142"/>
      <c r="J267" s="4"/>
      <c r="K267" s="142"/>
      <c r="L267" s="142"/>
      <c r="M267" s="142"/>
      <c r="N267" s="142"/>
      <c r="O267" s="4"/>
      <c r="P267" s="4"/>
      <c r="Q267" s="142"/>
      <c r="R267" s="143"/>
      <c r="S267" s="142"/>
      <c r="T267" s="142"/>
      <c r="U267" s="142"/>
    </row>
    <row r="268" ht="14.25" customHeight="1">
      <c r="A268" s="142"/>
      <c r="B268" s="142"/>
      <c r="C268" s="142"/>
      <c r="D268" s="142"/>
      <c r="E268" s="142"/>
      <c r="F268" s="142"/>
      <c r="G268" s="142"/>
      <c r="H268" s="142"/>
      <c r="I268" s="142"/>
      <c r="J268" s="4"/>
      <c r="K268" s="142"/>
      <c r="L268" s="142"/>
      <c r="M268" s="142"/>
      <c r="N268" s="142"/>
      <c r="O268" s="4"/>
      <c r="P268" s="4"/>
      <c r="Q268" s="142"/>
      <c r="R268" s="143"/>
      <c r="S268" s="142"/>
      <c r="T268" s="142"/>
      <c r="U268" s="142"/>
    </row>
    <row r="269" ht="14.25" customHeight="1">
      <c r="A269" s="142"/>
      <c r="B269" s="142"/>
      <c r="C269" s="142"/>
      <c r="D269" s="142"/>
      <c r="E269" s="142"/>
      <c r="F269" s="142"/>
      <c r="G269" s="142"/>
      <c r="H269" s="142"/>
      <c r="I269" s="142"/>
      <c r="J269" s="4"/>
      <c r="K269" s="142"/>
      <c r="L269" s="142"/>
      <c r="M269" s="142"/>
      <c r="N269" s="142"/>
      <c r="O269" s="4"/>
      <c r="P269" s="4"/>
      <c r="Q269" s="142"/>
      <c r="R269" s="143"/>
      <c r="S269" s="142"/>
      <c r="T269" s="142"/>
      <c r="U269" s="142"/>
    </row>
    <row r="270" ht="14.25" customHeight="1">
      <c r="A270" s="142"/>
      <c r="B270" s="142"/>
      <c r="C270" s="142"/>
      <c r="D270" s="142"/>
      <c r="E270" s="142"/>
      <c r="F270" s="142"/>
      <c r="G270" s="142"/>
      <c r="H270" s="142"/>
      <c r="I270" s="142"/>
      <c r="J270" s="4"/>
      <c r="K270" s="142"/>
      <c r="L270" s="142"/>
      <c r="M270" s="142"/>
      <c r="N270" s="142"/>
      <c r="O270" s="4"/>
      <c r="P270" s="4"/>
      <c r="Q270" s="142"/>
      <c r="R270" s="143"/>
      <c r="S270" s="142"/>
      <c r="T270" s="142"/>
      <c r="U270" s="142"/>
    </row>
    <row r="271" ht="14.25" customHeight="1">
      <c r="A271" s="142"/>
      <c r="B271" s="142"/>
      <c r="C271" s="142"/>
      <c r="D271" s="142"/>
      <c r="E271" s="142"/>
      <c r="F271" s="142"/>
      <c r="G271" s="142"/>
      <c r="H271" s="142"/>
      <c r="I271" s="142"/>
      <c r="J271" s="4"/>
      <c r="K271" s="142"/>
      <c r="L271" s="142"/>
      <c r="M271" s="142"/>
      <c r="N271" s="142"/>
      <c r="O271" s="4"/>
      <c r="P271" s="4"/>
      <c r="Q271" s="142"/>
      <c r="R271" s="143"/>
      <c r="S271" s="142"/>
      <c r="T271" s="142"/>
      <c r="U271" s="142"/>
    </row>
    <row r="272" ht="14.25" customHeight="1">
      <c r="A272" s="142"/>
      <c r="B272" s="142"/>
      <c r="C272" s="142"/>
      <c r="D272" s="142"/>
      <c r="E272" s="142"/>
      <c r="F272" s="142"/>
      <c r="G272" s="142"/>
      <c r="H272" s="142"/>
      <c r="I272" s="142"/>
      <c r="J272" s="4"/>
      <c r="K272" s="142"/>
      <c r="L272" s="142"/>
      <c r="M272" s="142"/>
      <c r="N272" s="142"/>
      <c r="O272" s="4"/>
      <c r="P272" s="4"/>
      <c r="Q272" s="142"/>
      <c r="R272" s="143"/>
      <c r="S272" s="142"/>
      <c r="T272" s="142"/>
      <c r="U272" s="142"/>
    </row>
    <row r="273" ht="14.25" customHeight="1">
      <c r="A273" s="142"/>
      <c r="B273" s="142"/>
      <c r="C273" s="142"/>
      <c r="D273" s="142"/>
      <c r="E273" s="142"/>
      <c r="F273" s="142"/>
      <c r="G273" s="142"/>
      <c r="H273" s="142"/>
      <c r="I273" s="142"/>
      <c r="J273" s="4"/>
      <c r="K273" s="142"/>
      <c r="L273" s="142"/>
      <c r="M273" s="142"/>
      <c r="N273" s="142"/>
      <c r="O273" s="4"/>
      <c r="P273" s="4"/>
      <c r="Q273" s="142"/>
      <c r="R273" s="143"/>
      <c r="S273" s="142"/>
      <c r="T273" s="142"/>
      <c r="U273" s="142"/>
    </row>
    <row r="274" ht="14.25" customHeight="1">
      <c r="A274" s="142"/>
      <c r="B274" s="142"/>
      <c r="C274" s="142"/>
      <c r="D274" s="142"/>
      <c r="E274" s="142"/>
      <c r="F274" s="142"/>
      <c r="G274" s="142"/>
      <c r="H274" s="142"/>
      <c r="I274" s="142"/>
      <c r="J274" s="4"/>
      <c r="K274" s="142"/>
      <c r="L274" s="142"/>
      <c r="M274" s="142"/>
      <c r="N274" s="142"/>
      <c r="O274" s="4"/>
      <c r="P274" s="4"/>
      <c r="Q274" s="142"/>
      <c r="R274" s="143"/>
      <c r="S274" s="142"/>
      <c r="T274" s="142"/>
      <c r="U274" s="142"/>
    </row>
    <row r="275" ht="14.25" customHeight="1">
      <c r="A275" s="142"/>
      <c r="B275" s="142"/>
      <c r="C275" s="142"/>
      <c r="D275" s="142"/>
      <c r="E275" s="142"/>
      <c r="F275" s="142"/>
      <c r="G275" s="142"/>
      <c r="H275" s="142"/>
      <c r="I275" s="142"/>
      <c r="J275" s="4"/>
      <c r="K275" s="142"/>
      <c r="L275" s="142"/>
      <c r="M275" s="142"/>
      <c r="N275" s="142"/>
      <c r="O275" s="4"/>
      <c r="P275" s="4"/>
      <c r="Q275" s="142"/>
      <c r="R275" s="143"/>
      <c r="S275" s="142"/>
      <c r="T275" s="142"/>
      <c r="U275" s="142"/>
    </row>
    <row r="276" ht="14.25" customHeight="1">
      <c r="A276" s="142"/>
      <c r="B276" s="142"/>
      <c r="C276" s="142"/>
      <c r="D276" s="142"/>
      <c r="E276" s="142"/>
      <c r="F276" s="142"/>
      <c r="G276" s="142"/>
      <c r="H276" s="142"/>
      <c r="I276" s="142"/>
      <c r="J276" s="4"/>
      <c r="K276" s="142"/>
      <c r="L276" s="142"/>
      <c r="M276" s="142"/>
      <c r="N276" s="142"/>
      <c r="O276" s="4"/>
      <c r="P276" s="4"/>
      <c r="Q276" s="142"/>
      <c r="R276" s="143"/>
      <c r="S276" s="142"/>
      <c r="T276" s="142"/>
      <c r="U276" s="142"/>
    </row>
    <row r="277" ht="14.25" customHeight="1">
      <c r="A277" s="142"/>
      <c r="B277" s="142"/>
      <c r="C277" s="142"/>
      <c r="D277" s="142"/>
      <c r="E277" s="142"/>
      <c r="F277" s="142"/>
      <c r="G277" s="142"/>
      <c r="H277" s="142"/>
      <c r="I277" s="142"/>
      <c r="J277" s="4"/>
      <c r="K277" s="142"/>
      <c r="L277" s="142"/>
      <c r="M277" s="142"/>
      <c r="N277" s="142"/>
      <c r="O277" s="4"/>
      <c r="P277" s="4"/>
      <c r="Q277" s="142"/>
      <c r="R277" s="143"/>
      <c r="S277" s="142"/>
      <c r="T277" s="142"/>
      <c r="U277" s="142"/>
    </row>
    <row r="278" ht="14.25" customHeight="1">
      <c r="A278" s="142"/>
      <c r="B278" s="142"/>
      <c r="C278" s="142"/>
      <c r="D278" s="142"/>
      <c r="E278" s="142"/>
      <c r="F278" s="142"/>
      <c r="G278" s="142"/>
      <c r="H278" s="142"/>
      <c r="I278" s="142"/>
      <c r="J278" s="4"/>
      <c r="K278" s="142"/>
      <c r="L278" s="142"/>
      <c r="M278" s="142"/>
      <c r="N278" s="142"/>
      <c r="O278" s="4"/>
      <c r="P278" s="4"/>
      <c r="Q278" s="142"/>
      <c r="R278" s="143"/>
      <c r="S278" s="142"/>
      <c r="T278" s="142"/>
      <c r="U278" s="142"/>
    </row>
    <row r="279" ht="14.25" customHeight="1">
      <c r="A279" s="142"/>
      <c r="B279" s="142"/>
      <c r="C279" s="142"/>
      <c r="D279" s="142"/>
      <c r="E279" s="142"/>
      <c r="F279" s="142"/>
      <c r="G279" s="142"/>
      <c r="H279" s="142"/>
      <c r="I279" s="142"/>
      <c r="J279" s="4"/>
      <c r="K279" s="142"/>
      <c r="L279" s="142"/>
      <c r="M279" s="142"/>
      <c r="N279" s="142"/>
      <c r="O279" s="4"/>
      <c r="P279" s="4"/>
      <c r="Q279" s="142"/>
      <c r="R279" s="143"/>
      <c r="S279" s="142"/>
      <c r="T279" s="142"/>
      <c r="U279" s="142"/>
    </row>
    <row r="280" ht="14.25" customHeight="1">
      <c r="A280" s="142"/>
      <c r="B280" s="142"/>
      <c r="C280" s="142"/>
      <c r="D280" s="142"/>
      <c r="E280" s="142"/>
      <c r="F280" s="142"/>
      <c r="G280" s="142"/>
      <c r="H280" s="142"/>
      <c r="I280" s="142"/>
      <c r="J280" s="4"/>
      <c r="K280" s="142"/>
      <c r="L280" s="142"/>
      <c r="M280" s="142"/>
      <c r="N280" s="142"/>
      <c r="O280" s="4"/>
      <c r="P280" s="4"/>
      <c r="Q280" s="142"/>
      <c r="R280" s="143"/>
      <c r="S280" s="142"/>
      <c r="T280" s="142"/>
      <c r="U280" s="142"/>
    </row>
    <row r="281" ht="14.25" customHeight="1">
      <c r="A281" s="142"/>
      <c r="B281" s="142"/>
      <c r="C281" s="142"/>
      <c r="D281" s="142"/>
      <c r="E281" s="142"/>
      <c r="F281" s="142"/>
      <c r="G281" s="142"/>
      <c r="H281" s="142"/>
      <c r="I281" s="142"/>
      <c r="J281" s="4"/>
      <c r="K281" s="142"/>
      <c r="L281" s="142"/>
      <c r="M281" s="142"/>
      <c r="N281" s="142"/>
      <c r="O281" s="4"/>
      <c r="P281" s="4"/>
      <c r="Q281" s="142"/>
      <c r="R281" s="143"/>
      <c r="S281" s="142"/>
      <c r="T281" s="142"/>
      <c r="U281" s="142"/>
    </row>
    <row r="282" ht="14.25" customHeight="1">
      <c r="A282" s="142"/>
      <c r="B282" s="142"/>
      <c r="C282" s="142"/>
      <c r="D282" s="142"/>
      <c r="E282" s="142"/>
      <c r="F282" s="142"/>
      <c r="G282" s="142"/>
      <c r="H282" s="142"/>
      <c r="I282" s="142"/>
      <c r="J282" s="4"/>
      <c r="K282" s="142"/>
      <c r="L282" s="142"/>
      <c r="M282" s="142"/>
      <c r="N282" s="142"/>
      <c r="O282" s="4"/>
      <c r="P282" s="4"/>
      <c r="Q282" s="142"/>
      <c r="R282" s="143"/>
      <c r="S282" s="142"/>
      <c r="T282" s="142"/>
      <c r="U282" s="142"/>
    </row>
    <row r="283" ht="14.25" customHeight="1">
      <c r="A283" s="142"/>
      <c r="B283" s="142"/>
      <c r="C283" s="142"/>
      <c r="D283" s="142"/>
      <c r="E283" s="142"/>
      <c r="F283" s="142"/>
      <c r="G283" s="142"/>
      <c r="H283" s="142"/>
      <c r="I283" s="142"/>
      <c r="J283" s="4"/>
      <c r="K283" s="142"/>
      <c r="L283" s="142"/>
      <c r="M283" s="142"/>
      <c r="N283" s="142"/>
      <c r="O283" s="4"/>
      <c r="P283" s="4"/>
      <c r="Q283" s="142"/>
      <c r="R283" s="143"/>
      <c r="S283" s="142"/>
      <c r="T283" s="142"/>
      <c r="U283" s="142"/>
    </row>
    <row r="284" ht="14.25" customHeight="1">
      <c r="A284" s="142"/>
      <c r="B284" s="142"/>
      <c r="C284" s="142"/>
      <c r="D284" s="142"/>
      <c r="E284" s="142"/>
      <c r="F284" s="142"/>
      <c r="G284" s="142"/>
      <c r="H284" s="142"/>
      <c r="I284" s="142"/>
      <c r="J284" s="4"/>
      <c r="K284" s="142"/>
      <c r="L284" s="142"/>
      <c r="M284" s="142"/>
      <c r="N284" s="142"/>
      <c r="O284" s="4"/>
      <c r="P284" s="4"/>
      <c r="Q284" s="142"/>
      <c r="R284" s="143"/>
      <c r="S284" s="142"/>
      <c r="T284" s="142"/>
      <c r="U284" s="142"/>
    </row>
    <row r="285" ht="14.25" customHeight="1">
      <c r="A285" s="142"/>
      <c r="B285" s="142"/>
      <c r="C285" s="142"/>
      <c r="D285" s="142"/>
      <c r="E285" s="142"/>
      <c r="F285" s="142"/>
      <c r="G285" s="142"/>
      <c r="H285" s="142"/>
      <c r="I285" s="142"/>
      <c r="J285" s="4"/>
      <c r="K285" s="142"/>
      <c r="L285" s="142"/>
      <c r="M285" s="142"/>
      <c r="N285" s="142"/>
      <c r="O285" s="4"/>
      <c r="P285" s="4"/>
      <c r="Q285" s="142"/>
      <c r="R285" s="143"/>
      <c r="S285" s="142"/>
      <c r="T285" s="142"/>
      <c r="U285" s="142"/>
    </row>
    <row r="286" ht="14.25" customHeight="1">
      <c r="A286" s="142"/>
      <c r="B286" s="142"/>
      <c r="C286" s="142"/>
      <c r="D286" s="142"/>
      <c r="E286" s="142"/>
      <c r="F286" s="142"/>
      <c r="G286" s="142"/>
      <c r="H286" s="142"/>
      <c r="I286" s="142"/>
      <c r="J286" s="4"/>
      <c r="K286" s="142"/>
      <c r="L286" s="142"/>
      <c r="M286" s="142"/>
      <c r="N286" s="142"/>
      <c r="O286" s="4"/>
      <c r="P286" s="4"/>
      <c r="Q286" s="142"/>
      <c r="R286" s="143"/>
      <c r="S286" s="142"/>
      <c r="T286" s="142"/>
      <c r="U286" s="142"/>
    </row>
    <row r="287" ht="14.25" customHeight="1">
      <c r="A287" s="142"/>
      <c r="B287" s="142"/>
      <c r="C287" s="142"/>
      <c r="D287" s="142"/>
      <c r="E287" s="142"/>
      <c r="F287" s="142"/>
      <c r="G287" s="142"/>
      <c r="H287" s="142"/>
      <c r="I287" s="142"/>
      <c r="J287" s="4"/>
      <c r="K287" s="142"/>
      <c r="L287" s="142"/>
      <c r="M287" s="142"/>
      <c r="N287" s="142"/>
      <c r="O287" s="4"/>
      <c r="P287" s="4"/>
      <c r="Q287" s="142"/>
      <c r="R287" s="143"/>
      <c r="S287" s="142"/>
      <c r="T287" s="142"/>
      <c r="U287" s="142"/>
    </row>
    <row r="288" ht="14.25" customHeight="1">
      <c r="A288" s="142"/>
      <c r="B288" s="142"/>
      <c r="C288" s="142"/>
      <c r="D288" s="142"/>
      <c r="E288" s="142"/>
      <c r="F288" s="142"/>
      <c r="G288" s="142"/>
      <c r="H288" s="142"/>
      <c r="I288" s="142"/>
      <c r="J288" s="4"/>
      <c r="K288" s="142"/>
      <c r="L288" s="142"/>
      <c r="M288" s="142"/>
      <c r="N288" s="142"/>
      <c r="O288" s="4"/>
      <c r="P288" s="4"/>
      <c r="Q288" s="142"/>
      <c r="R288" s="143"/>
      <c r="S288" s="142"/>
      <c r="T288" s="142"/>
      <c r="U288" s="142"/>
    </row>
    <row r="289" ht="14.25" customHeight="1">
      <c r="A289" s="142"/>
      <c r="B289" s="142"/>
      <c r="C289" s="142"/>
      <c r="D289" s="142"/>
      <c r="E289" s="142"/>
      <c r="F289" s="142"/>
      <c r="G289" s="142"/>
      <c r="H289" s="142"/>
      <c r="I289" s="142"/>
      <c r="J289" s="4"/>
      <c r="K289" s="142"/>
      <c r="L289" s="142"/>
      <c r="M289" s="142"/>
      <c r="N289" s="142"/>
      <c r="O289" s="4"/>
      <c r="P289" s="4"/>
      <c r="Q289" s="142"/>
      <c r="R289" s="143"/>
      <c r="S289" s="142"/>
      <c r="T289" s="142"/>
      <c r="U289" s="142"/>
    </row>
    <row r="290" ht="14.25" customHeight="1">
      <c r="A290" s="142"/>
      <c r="B290" s="142"/>
      <c r="C290" s="142"/>
      <c r="D290" s="142"/>
      <c r="E290" s="142"/>
      <c r="F290" s="142"/>
      <c r="G290" s="142"/>
      <c r="H290" s="142"/>
      <c r="I290" s="142"/>
      <c r="J290" s="4"/>
      <c r="K290" s="142"/>
      <c r="L290" s="142"/>
      <c r="M290" s="142"/>
      <c r="N290" s="142"/>
      <c r="O290" s="4"/>
      <c r="P290" s="4"/>
      <c r="Q290" s="142"/>
      <c r="R290" s="143"/>
      <c r="S290" s="142"/>
      <c r="T290" s="142"/>
      <c r="U290" s="142"/>
    </row>
    <row r="291" ht="14.25" customHeight="1">
      <c r="A291" s="142"/>
      <c r="B291" s="142"/>
      <c r="C291" s="142"/>
      <c r="D291" s="142"/>
      <c r="E291" s="142"/>
      <c r="F291" s="142"/>
      <c r="G291" s="142"/>
      <c r="H291" s="142"/>
      <c r="I291" s="142"/>
      <c r="J291" s="4"/>
      <c r="K291" s="142"/>
      <c r="L291" s="142"/>
      <c r="M291" s="142"/>
      <c r="N291" s="142"/>
      <c r="O291" s="4"/>
      <c r="P291" s="4"/>
      <c r="Q291" s="142"/>
      <c r="R291" s="143"/>
      <c r="S291" s="142"/>
      <c r="T291" s="142"/>
      <c r="U291" s="142"/>
    </row>
    <row r="292" ht="14.25" customHeight="1">
      <c r="A292" s="142"/>
      <c r="B292" s="142"/>
      <c r="C292" s="142"/>
      <c r="D292" s="142"/>
      <c r="E292" s="142"/>
      <c r="F292" s="142"/>
      <c r="G292" s="142"/>
      <c r="H292" s="142"/>
      <c r="I292" s="142"/>
      <c r="J292" s="4"/>
      <c r="K292" s="142"/>
      <c r="L292" s="142"/>
      <c r="M292" s="142"/>
      <c r="N292" s="142"/>
      <c r="O292" s="4"/>
      <c r="P292" s="4"/>
      <c r="Q292" s="142"/>
      <c r="R292" s="143"/>
      <c r="S292" s="142"/>
      <c r="T292" s="142"/>
      <c r="U292" s="142"/>
    </row>
    <row r="293" ht="14.25" customHeight="1">
      <c r="A293" s="142"/>
      <c r="B293" s="142"/>
      <c r="C293" s="142"/>
      <c r="D293" s="142"/>
      <c r="E293" s="142"/>
      <c r="F293" s="142"/>
      <c r="G293" s="142"/>
      <c r="H293" s="142"/>
      <c r="I293" s="142"/>
      <c r="J293" s="4"/>
      <c r="K293" s="142"/>
      <c r="L293" s="142"/>
      <c r="M293" s="142"/>
      <c r="N293" s="142"/>
      <c r="O293" s="4"/>
      <c r="P293" s="4"/>
      <c r="Q293" s="142"/>
      <c r="R293" s="143"/>
      <c r="S293" s="142"/>
      <c r="T293" s="142"/>
      <c r="U293" s="142"/>
    </row>
    <row r="294" ht="14.25" customHeight="1">
      <c r="A294" s="142"/>
      <c r="B294" s="142"/>
      <c r="C294" s="142"/>
      <c r="D294" s="142"/>
      <c r="E294" s="142"/>
      <c r="F294" s="142"/>
      <c r="G294" s="142"/>
      <c r="H294" s="142"/>
      <c r="I294" s="142"/>
      <c r="J294" s="4"/>
      <c r="K294" s="142"/>
      <c r="L294" s="142"/>
      <c r="M294" s="142"/>
      <c r="N294" s="142"/>
      <c r="O294" s="4"/>
      <c r="P294" s="4"/>
      <c r="Q294" s="142"/>
      <c r="R294" s="143"/>
      <c r="S294" s="142"/>
      <c r="T294" s="142"/>
      <c r="U294" s="142"/>
    </row>
    <row r="295" ht="14.25" customHeight="1">
      <c r="A295" s="142"/>
      <c r="B295" s="142"/>
      <c r="C295" s="142"/>
      <c r="D295" s="142"/>
      <c r="E295" s="142"/>
      <c r="F295" s="142"/>
      <c r="G295" s="142"/>
      <c r="H295" s="142"/>
      <c r="I295" s="142"/>
      <c r="J295" s="4"/>
      <c r="K295" s="142"/>
      <c r="L295" s="142"/>
      <c r="M295" s="142"/>
      <c r="N295" s="142"/>
      <c r="O295" s="4"/>
      <c r="P295" s="4"/>
      <c r="Q295" s="142"/>
      <c r="R295" s="143"/>
      <c r="S295" s="142"/>
      <c r="T295" s="142"/>
      <c r="U295" s="142"/>
    </row>
    <row r="296" ht="14.25" customHeight="1">
      <c r="A296" s="142"/>
      <c r="B296" s="142"/>
      <c r="C296" s="142"/>
      <c r="D296" s="142"/>
      <c r="E296" s="142"/>
      <c r="F296" s="142"/>
      <c r="G296" s="142"/>
      <c r="H296" s="142"/>
      <c r="I296" s="142"/>
      <c r="J296" s="4"/>
      <c r="K296" s="142"/>
      <c r="L296" s="142"/>
      <c r="M296" s="142"/>
      <c r="N296" s="142"/>
      <c r="O296" s="4"/>
      <c r="P296" s="4"/>
      <c r="Q296" s="142"/>
      <c r="R296" s="143"/>
      <c r="S296" s="142"/>
      <c r="T296" s="142"/>
      <c r="U296" s="142"/>
    </row>
    <row r="297" ht="14.25" customHeight="1">
      <c r="A297" s="142"/>
      <c r="B297" s="142"/>
      <c r="C297" s="142"/>
      <c r="D297" s="142"/>
      <c r="E297" s="142"/>
      <c r="F297" s="142"/>
      <c r="G297" s="142"/>
      <c r="H297" s="142"/>
      <c r="I297" s="142"/>
      <c r="J297" s="4"/>
      <c r="K297" s="142"/>
      <c r="L297" s="142"/>
      <c r="M297" s="142"/>
      <c r="N297" s="142"/>
      <c r="O297" s="4"/>
      <c r="P297" s="4"/>
      <c r="Q297" s="142"/>
      <c r="R297" s="143"/>
      <c r="S297" s="142"/>
      <c r="T297" s="142"/>
      <c r="U297" s="142"/>
    </row>
    <row r="298" ht="14.25" customHeight="1">
      <c r="A298" s="142"/>
      <c r="B298" s="142"/>
      <c r="C298" s="142"/>
      <c r="D298" s="142"/>
      <c r="E298" s="142"/>
      <c r="F298" s="142"/>
      <c r="G298" s="142"/>
      <c r="H298" s="142"/>
      <c r="I298" s="142"/>
      <c r="J298" s="4"/>
      <c r="K298" s="142"/>
      <c r="L298" s="142"/>
      <c r="M298" s="142"/>
      <c r="N298" s="142"/>
      <c r="O298" s="4"/>
      <c r="P298" s="4"/>
      <c r="Q298" s="142"/>
      <c r="R298" s="143"/>
      <c r="S298" s="142"/>
      <c r="T298" s="142"/>
      <c r="U298" s="142"/>
    </row>
    <row r="299" ht="14.25" customHeight="1">
      <c r="A299" s="142"/>
      <c r="B299" s="142"/>
      <c r="C299" s="142"/>
      <c r="D299" s="142"/>
      <c r="E299" s="142"/>
      <c r="F299" s="142"/>
      <c r="G299" s="142"/>
      <c r="H299" s="142"/>
      <c r="I299" s="142"/>
      <c r="J299" s="4"/>
      <c r="K299" s="142"/>
      <c r="L299" s="142"/>
      <c r="M299" s="142"/>
      <c r="N299" s="142"/>
      <c r="O299" s="4"/>
      <c r="P299" s="4"/>
      <c r="Q299" s="142"/>
      <c r="R299" s="143"/>
      <c r="S299" s="142"/>
      <c r="T299" s="142"/>
      <c r="U299" s="142"/>
    </row>
    <row r="300" ht="14.25" customHeight="1">
      <c r="A300" s="142"/>
      <c r="B300" s="142"/>
      <c r="C300" s="142"/>
      <c r="D300" s="142"/>
      <c r="E300" s="142"/>
      <c r="F300" s="142"/>
      <c r="G300" s="142"/>
      <c r="H300" s="142"/>
      <c r="I300" s="142"/>
      <c r="J300" s="4"/>
      <c r="K300" s="142"/>
      <c r="L300" s="142"/>
      <c r="M300" s="142"/>
      <c r="N300" s="142"/>
      <c r="O300" s="4"/>
      <c r="P300" s="4"/>
      <c r="Q300" s="142"/>
      <c r="R300" s="143"/>
      <c r="S300" s="142"/>
      <c r="T300" s="142"/>
      <c r="U300" s="142"/>
    </row>
    <row r="301" ht="14.25" customHeight="1">
      <c r="A301" s="142"/>
      <c r="B301" s="142"/>
      <c r="C301" s="142"/>
      <c r="D301" s="142"/>
      <c r="E301" s="142"/>
      <c r="F301" s="142"/>
      <c r="G301" s="142"/>
      <c r="H301" s="142"/>
      <c r="I301" s="142"/>
      <c r="J301" s="4"/>
      <c r="K301" s="142"/>
      <c r="L301" s="142"/>
      <c r="M301" s="142"/>
      <c r="N301" s="142"/>
      <c r="O301" s="4"/>
      <c r="P301" s="4"/>
      <c r="Q301" s="142"/>
      <c r="R301" s="143"/>
      <c r="S301" s="142"/>
      <c r="T301" s="142"/>
      <c r="U301" s="142"/>
    </row>
    <row r="302" ht="14.25" customHeight="1">
      <c r="A302" s="142"/>
      <c r="B302" s="142"/>
      <c r="C302" s="142"/>
      <c r="D302" s="142"/>
      <c r="E302" s="142"/>
      <c r="F302" s="142"/>
      <c r="G302" s="142"/>
      <c r="H302" s="142"/>
      <c r="I302" s="142"/>
      <c r="J302" s="4"/>
      <c r="K302" s="142"/>
      <c r="L302" s="142"/>
      <c r="M302" s="142"/>
      <c r="N302" s="142"/>
      <c r="O302" s="4"/>
      <c r="P302" s="4"/>
      <c r="Q302" s="142"/>
      <c r="R302" s="143"/>
      <c r="S302" s="142"/>
      <c r="T302" s="142"/>
      <c r="U302" s="142"/>
    </row>
    <row r="303" ht="14.25" customHeight="1">
      <c r="A303" s="142"/>
      <c r="B303" s="142"/>
      <c r="C303" s="142"/>
      <c r="D303" s="142"/>
      <c r="E303" s="142"/>
      <c r="F303" s="142"/>
      <c r="G303" s="142"/>
      <c r="H303" s="142"/>
      <c r="I303" s="142"/>
      <c r="J303" s="4"/>
      <c r="K303" s="142"/>
      <c r="L303" s="142"/>
      <c r="M303" s="142"/>
      <c r="N303" s="142"/>
      <c r="O303" s="4"/>
      <c r="P303" s="4"/>
      <c r="Q303" s="142"/>
      <c r="R303" s="143"/>
      <c r="S303" s="142"/>
      <c r="T303" s="142"/>
      <c r="U303" s="142"/>
    </row>
    <row r="304" ht="14.25" customHeight="1">
      <c r="A304" s="142"/>
      <c r="B304" s="142"/>
      <c r="C304" s="142"/>
      <c r="D304" s="142"/>
      <c r="E304" s="142"/>
      <c r="F304" s="142"/>
      <c r="G304" s="142"/>
      <c r="H304" s="142"/>
      <c r="I304" s="142"/>
      <c r="J304" s="4"/>
      <c r="K304" s="142"/>
      <c r="L304" s="142"/>
      <c r="M304" s="142"/>
      <c r="N304" s="142"/>
      <c r="O304" s="4"/>
      <c r="P304" s="4"/>
      <c r="Q304" s="142"/>
      <c r="R304" s="143"/>
      <c r="S304" s="142"/>
      <c r="T304" s="142"/>
      <c r="U304" s="142"/>
    </row>
    <row r="305" ht="14.25" customHeight="1">
      <c r="A305" s="142"/>
      <c r="B305" s="142"/>
      <c r="C305" s="142"/>
      <c r="D305" s="142"/>
      <c r="E305" s="142"/>
      <c r="F305" s="142"/>
      <c r="G305" s="142"/>
      <c r="H305" s="142"/>
      <c r="I305" s="142"/>
      <c r="J305" s="4"/>
      <c r="K305" s="142"/>
      <c r="L305" s="142"/>
      <c r="M305" s="142"/>
      <c r="N305" s="142"/>
      <c r="O305" s="4"/>
      <c r="P305" s="4"/>
      <c r="Q305" s="142"/>
      <c r="R305" s="143"/>
      <c r="S305" s="142"/>
      <c r="T305" s="142"/>
      <c r="U305" s="142"/>
    </row>
    <row r="306" ht="14.25" customHeight="1">
      <c r="A306" s="142"/>
      <c r="B306" s="142"/>
      <c r="C306" s="142"/>
      <c r="D306" s="142"/>
      <c r="E306" s="142"/>
      <c r="F306" s="142"/>
      <c r="G306" s="142"/>
      <c r="H306" s="142"/>
      <c r="I306" s="142"/>
      <c r="J306" s="4"/>
      <c r="K306" s="142"/>
      <c r="L306" s="142"/>
      <c r="M306" s="142"/>
      <c r="N306" s="142"/>
      <c r="O306" s="4"/>
      <c r="P306" s="4"/>
      <c r="Q306" s="142"/>
      <c r="R306" s="143"/>
      <c r="S306" s="142"/>
      <c r="T306" s="142"/>
      <c r="U306" s="142"/>
    </row>
    <row r="307" ht="14.25" customHeight="1">
      <c r="A307" s="142"/>
      <c r="B307" s="142"/>
      <c r="C307" s="142"/>
      <c r="D307" s="142"/>
      <c r="E307" s="142"/>
      <c r="F307" s="142"/>
      <c r="G307" s="142"/>
      <c r="H307" s="142"/>
      <c r="I307" s="142"/>
      <c r="J307" s="4"/>
      <c r="K307" s="142"/>
      <c r="L307" s="142"/>
      <c r="M307" s="142"/>
      <c r="N307" s="142"/>
      <c r="O307" s="4"/>
      <c r="P307" s="4"/>
      <c r="Q307" s="142"/>
      <c r="R307" s="143"/>
      <c r="S307" s="142"/>
      <c r="T307" s="142"/>
      <c r="U307" s="142"/>
    </row>
    <row r="308" ht="14.25" customHeight="1">
      <c r="A308" s="142"/>
      <c r="B308" s="142"/>
      <c r="C308" s="142"/>
      <c r="D308" s="142"/>
      <c r="E308" s="142"/>
      <c r="F308" s="142"/>
      <c r="G308" s="142"/>
      <c r="H308" s="142"/>
      <c r="I308" s="142"/>
      <c r="J308" s="4"/>
      <c r="K308" s="142"/>
      <c r="L308" s="142"/>
      <c r="M308" s="142"/>
      <c r="N308" s="142"/>
      <c r="O308" s="4"/>
      <c r="P308" s="4"/>
      <c r="Q308" s="142"/>
      <c r="R308" s="143"/>
      <c r="S308" s="142"/>
      <c r="T308" s="142"/>
      <c r="U308" s="142"/>
    </row>
    <row r="309" ht="14.25" customHeight="1">
      <c r="A309" s="142"/>
      <c r="B309" s="142"/>
      <c r="C309" s="142"/>
      <c r="D309" s="142"/>
      <c r="E309" s="142"/>
      <c r="F309" s="142"/>
      <c r="G309" s="142"/>
      <c r="H309" s="142"/>
      <c r="I309" s="142"/>
      <c r="J309" s="4"/>
      <c r="K309" s="142"/>
      <c r="L309" s="142"/>
      <c r="M309" s="142"/>
      <c r="N309" s="142"/>
      <c r="O309" s="4"/>
      <c r="P309" s="4"/>
      <c r="Q309" s="142"/>
      <c r="R309" s="143"/>
      <c r="S309" s="142"/>
      <c r="T309" s="142"/>
      <c r="U309" s="142"/>
    </row>
    <row r="310" ht="14.25" customHeight="1">
      <c r="A310" s="142"/>
      <c r="B310" s="142"/>
      <c r="C310" s="142"/>
      <c r="D310" s="142"/>
      <c r="E310" s="142"/>
      <c r="F310" s="142"/>
      <c r="G310" s="142"/>
      <c r="H310" s="142"/>
      <c r="I310" s="142"/>
      <c r="J310" s="4"/>
      <c r="K310" s="142"/>
      <c r="L310" s="142"/>
      <c r="M310" s="142"/>
      <c r="N310" s="142"/>
      <c r="O310" s="4"/>
      <c r="P310" s="4"/>
      <c r="Q310" s="142"/>
      <c r="R310" s="143"/>
      <c r="S310" s="142"/>
      <c r="T310" s="142"/>
      <c r="U310" s="142"/>
    </row>
    <row r="311" ht="14.25" customHeight="1">
      <c r="A311" s="142"/>
      <c r="B311" s="142"/>
      <c r="C311" s="142"/>
      <c r="D311" s="142"/>
      <c r="E311" s="142"/>
      <c r="F311" s="142"/>
      <c r="G311" s="142"/>
      <c r="H311" s="142"/>
      <c r="I311" s="142"/>
      <c r="J311" s="4"/>
      <c r="K311" s="142"/>
      <c r="L311" s="142"/>
      <c r="M311" s="142"/>
      <c r="N311" s="142"/>
      <c r="O311" s="4"/>
      <c r="P311" s="4"/>
      <c r="Q311" s="142"/>
      <c r="R311" s="143"/>
      <c r="S311" s="142"/>
      <c r="T311" s="142"/>
      <c r="U311" s="142"/>
    </row>
    <row r="312" ht="14.25" customHeight="1">
      <c r="A312" s="142"/>
      <c r="B312" s="142"/>
      <c r="C312" s="142"/>
      <c r="D312" s="142"/>
      <c r="E312" s="142"/>
      <c r="F312" s="142"/>
      <c r="G312" s="142"/>
      <c r="H312" s="142"/>
      <c r="I312" s="142"/>
      <c r="J312" s="4"/>
      <c r="K312" s="142"/>
      <c r="L312" s="142"/>
      <c r="M312" s="142"/>
      <c r="N312" s="142"/>
      <c r="O312" s="4"/>
      <c r="P312" s="4"/>
      <c r="Q312" s="142"/>
      <c r="R312" s="143"/>
      <c r="S312" s="142"/>
      <c r="T312" s="142"/>
      <c r="U312" s="142"/>
    </row>
    <row r="313" ht="14.25" customHeight="1">
      <c r="A313" s="142"/>
      <c r="B313" s="142"/>
      <c r="C313" s="142"/>
      <c r="D313" s="142"/>
      <c r="E313" s="142"/>
      <c r="F313" s="142"/>
      <c r="G313" s="142"/>
      <c r="H313" s="142"/>
      <c r="I313" s="142"/>
      <c r="J313" s="4"/>
      <c r="K313" s="142"/>
      <c r="L313" s="142"/>
      <c r="M313" s="142"/>
      <c r="N313" s="142"/>
      <c r="O313" s="4"/>
      <c r="P313" s="4"/>
      <c r="Q313" s="142"/>
      <c r="R313" s="143"/>
      <c r="S313" s="142"/>
      <c r="T313" s="142"/>
      <c r="U313" s="142"/>
    </row>
    <row r="314" ht="14.25" customHeight="1">
      <c r="A314" s="142"/>
      <c r="B314" s="142"/>
      <c r="C314" s="142"/>
      <c r="D314" s="142"/>
      <c r="E314" s="142"/>
      <c r="F314" s="142"/>
      <c r="G314" s="142"/>
      <c r="H314" s="142"/>
      <c r="I314" s="142"/>
      <c r="J314" s="4"/>
      <c r="K314" s="142"/>
      <c r="L314" s="142"/>
      <c r="M314" s="142"/>
      <c r="N314" s="142"/>
      <c r="O314" s="4"/>
      <c r="P314" s="4"/>
      <c r="Q314" s="142"/>
      <c r="R314" s="143"/>
      <c r="S314" s="142"/>
      <c r="T314" s="142"/>
      <c r="U314" s="142"/>
    </row>
    <row r="315" ht="14.25" customHeight="1">
      <c r="A315" s="142"/>
      <c r="B315" s="142"/>
      <c r="C315" s="142"/>
      <c r="D315" s="142"/>
      <c r="E315" s="142"/>
      <c r="F315" s="142"/>
      <c r="G315" s="142"/>
      <c r="H315" s="142"/>
      <c r="I315" s="142"/>
      <c r="J315" s="4"/>
      <c r="K315" s="142"/>
      <c r="L315" s="142"/>
      <c r="M315" s="142"/>
      <c r="N315" s="142"/>
      <c r="O315" s="4"/>
      <c r="P315" s="4"/>
      <c r="Q315" s="142"/>
      <c r="R315" s="143"/>
      <c r="S315" s="142"/>
      <c r="T315" s="142"/>
      <c r="U315" s="142"/>
    </row>
    <row r="316" ht="14.25" customHeight="1">
      <c r="A316" s="142"/>
      <c r="B316" s="142"/>
      <c r="C316" s="142"/>
      <c r="D316" s="142"/>
      <c r="E316" s="142"/>
      <c r="F316" s="142"/>
      <c r="G316" s="142"/>
      <c r="H316" s="142"/>
      <c r="I316" s="142"/>
      <c r="J316" s="4"/>
      <c r="K316" s="142"/>
      <c r="L316" s="142"/>
      <c r="M316" s="142"/>
      <c r="N316" s="142"/>
      <c r="O316" s="4"/>
      <c r="P316" s="4"/>
      <c r="Q316" s="142"/>
      <c r="R316" s="143"/>
      <c r="S316" s="142"/>
      <c r="T316" s="142"/>
      <c r="U316" s="142"/>
    </row>
    <row r="317" ht="14.25" customHeight="1">
      <c r="A317" s="142"/>
      <c r="B317" s="142"/>
      <c r="C317" s="142"/>
      <c r="D317" s="142"/>
      <c r="E317" s="142"/>
      <c r="F317" s="142"/>
      <c r="G317" s="142"/>
      <c r="H317" s="142"/>
      <c r="I317" s="142"/>
      <c r="J317" s="4"/>
      <c r="K317" s="142"/>
      <c r="L317" s="142"/>
      <c r="M317" s="142"/>
      <c r="N317" s="142"/>
      <c r="O317" s="4"/>
      <c r="P317" s="4"/>
      <c r="Q317" s="142"/>
      <c r="R317" s="143"/>
      <c r="S317" s="142"/>
      <c r="T317" s="142"/>
      <c r="U317" s="142"/>
    </row>
    <row r="318" ht="14.25" customHeight="1">
      <c r="A318" s="142"/>
      <c r="B318" s="142"/>
      <c r="C318" s="142"/>
      <c r="D318" s="142"/>
      <c r="E318" s="142"/>
      <c r="F318" s="142"/>
      <c r="G318" s="142"/>
      <c r="H318" s="142"/>
      <c r="I318" s="142"/>
      <c r="J318" s="4"/>
      <c r="K318" s="142"/>
      <c r="L318" s="142"/>
      <c r="M318" s="142"/>
      <c r="N318" s="142"/>
      <c r="O318" s="4"/>
      <c r="P318" s="4"/>
      <c r="Q318" s="142"/>
      <c r="R318" s="143"/>
      <c r="S318" s="142"/>
      <c r="T318" s="142"/>
      <c r="U318" s="142"/>
    </row>
    <row r="319" ht="14.25" customHeight="1">
      <c r="A319" s="142"/>
      <c r="B319" s="142"/>
      <c r="C319" s="142"/>
      <c r="D319" s="142"/>
      <c r="E319" s="142"/>
      <c r="F319" s="142"/>
      <c r="G319" s="142"/>
      <c r="H319" s="142"/>
      <c r="I319" s="142"/>
      <c r="J319" s="4"/>
      <c r="K319" s="142"/>
      <c r="L319" s="142"/>
      <c r="M319" s="142"/>
      <c r="N319" s="142"/>
      <c r="O319" s="4"/>
      <c r="P319" s="4"/>
      <c r="Q319" s="142"/>
      <c r="R319" s="143"/>
      <c r="S319" s="142"/>
      <c r="T319" s="142"/>
      <c r="U319" s="142"/>
    </row>
    <row r="320" ht="14.25" customHeight="1">
      <c r="A320" s="142"/>
      <c r="B320" s="142"/>
      <c r="C320" s="142"/>
      <c r="D320" s="142"/>
      <c r="E320" s="142"/>
      <c r="F320" s="142"/>
      <c r="G320" s="142"/>
      <c r="H320" s="142"/>
      <c r="I320" s="142"/>
      <c r="J320" s="4"/>
      <c r="K320" s="142"/>
      <c r="L320" s="142"/>
      <c r="M320" s="142"/>
      <c r="N320" s="142"/>
      <c r="O320" s="4"/>
      <c r="P320" s="4"/>
      <c r="Q320" s="142"/>
      <c r="R320" s="143"/>
      <c r="S320" s="142"/>
      <c r="T320" s="142"/>
      <c r="U320" s="142"/>
    </row>
    <row r="321" ht="14.25" customHeight="1">
      <c r="A321" s="142"/>
      <c r="B321" s="142"/>
      <c r="C321" s="142"/>
      <c r="D321" s="142"/>
      <c r="E321" s="142"/>
      <c r="F321" s="142"/>
      <c r="G321" s="142"/>
      <c r="H321" s="142"/>
      <c r="I321" s="142"/>
      <c r="J321" s="4"/>
      <c r="K321" s="142"/>
      <c r="L321" s="142"/>
      <c r="M321" s="142"/>
      <c r="N321" s="142"/>
      <c r="O321" s="4"/>
      <c r="P321" s="4"/>
      <c r="Q321" s="142"/>
      <c r="R321" s="143"/>
      <c r="S321" s="142"/>
      <c r="T321" s="142"/>
      <c r="U321" s="142"/>
    </row>
    <row r="322" ht="14.25" customHeight="1">
      <c r="A322" s="142"/>
      <c r="B322" s="142"/>
      <c r="C322" s="142"/>
      <c r="D322" s="142"/>
      <c r="E322" s="142"/>
      <c r="F322" s="142"/>
      <c r="G322" s="142"/>
      <c r="H322" s="142"/>
      <c r="I322" s="142"/>
      <c r="J322" s="4"/>
      <c r="K322" s="142"/>
      <c r="L322" s="142"/>
      <c r="M322" s="142"/>
      <c r="N322" s="142"/>
      <c r="O322" s="4"/>
      <c r="P322" s="4"/>
      <c r="Q322" s="142"/>
      <c r="R322" s="143"/>
      <c r="S322" s="142"/>
      <c r="T322" s="142"/>
      <c r="U322" s="142"/>
    </row>
    <row r="323" ht="14.25" customHeight="1">
      <c r="A323" s="142"/>
      <c r="B323" s="142"/>
      <c r="C323" s="142"/>
      <c r="D323" s="142"/>
      <c r="E323" s="142"/>
      <c r="F323" s="142"/>
      <c r="G323" s="142"/>
      <c r="H323" s="142"/>
      <c r="I323" s="142"/>
      <c r="J323" s="4"/>
      <c r="K323" s="142"/>
      <c r="L323" s="142"/>
      <c r="M323" s="142"/>
      <c r="N323" s="142"/>
      <c r="O323" s="4"/>
      <c r="P323" s="4"/>
      <c r="Q323" s="142"/>
      <c r="R323" s="143"/>
      <c r="S323" s="142"/>
      <c r="T323" s="142"/>
      <c r="U323" s="142"/>
    </row>
    <row r="324" ht="14.25" customHeight="1">
      <c r="A324" s="142"/>
      <c r="B324" s="142"/>
      <c r="C324" s="142"/>
      <c r="D324" s="142"/>
      <c r="E324" s="142"/>
      <c r="F324" s="142"/>
      <c r="G324" s="142"/>
      <c r="H324" s="142"/>
      <c r="I324" s="142"/>
      <c r="J324" s="4"/>
      <c r="K324" s="142"/>
      <c r="L324" s="142"/>
      <c r="M324" s="142"/>
      <c r="N324" s="142"/>
      <c r="O324" s="4"/>
      <c r="P324" s="4"/>
      <c r="Q324" s="142"/>
      <c r="R324" s="143"/>
      <c r="S324" s="142"/>
      <c r="T324" s="142"/>
      <c r="U324" s="142"/>
    </row>
    <row r="325" ht="14.25" customHeight="1">
      <c r="A325" s="142"/>
      <c r="B325" s="142"/>
      <c r="C325" s="142"/>
      <c r="D325" s="142"/>
      <c r="E325" s="142"/>
      <c r="F325" s="142"/>
      <c r="G325" s="142"/>
      <c r="H325" s="142"/>
      <c r="I325" s="142"/>
      <c r="J325" s="4"/>
      <c r="K325" s="142"/>
      <c r="L325" s="142"/>
      <c r="M325" s="142"/>
      <c r="N325" s="142"/>
      <c r="O325" s="4"/>
      <c r="P325" s="4"/>
      <c r="Q325" s="142"/>
      <c r="R325" s="143"/>
      <c r="S325" s="142"/>
      <c r="T325" s="142"/>
      <c r="U325" s="142"/>
    </row>
    <row r="326" ht="14.25" customHeight="1">
      <c r="A326" s="142"/>
      <c r="B326" s="142"/>
      <c r="C326" s="142"/>
      <c r="D326" s="142"/>
      <c r="E326" s="142"/>
      <c r="F326" s="142"/>
      <c r="G326" s="142"/>
      <c r="H326" s="142"/>
      <c r="I326" s="142"/>
      <c r="J326" s="4"/>
      <c r="K326" s="142"/>
      <c r="L326" s="142"/>
      <c r="M326" s="142"/>
      <c r="N326" s="142"/>
      <c r="O326" s="4"/>
      <c r="P326" s="4"/>
      <c r="Q326" s="142"/>
      <c r="R326" s="143"/>
      <c r="S326" s="142"/>
      <c r="T326" s="142"/>
      <c r="U326" s="142"/>
    </row>
    <row r="327" ht="14.25" customHeight="1">
      <c r="A327" s="142"/>
      <c r="B327" s="142"/>
      <c r="C327" s="142"/>
      <c r="D327" s="142"/>
      <c r="E327" s="142"/>
      <c r="F327" s="142"/>
      <c r="G327" s="142"/>
      <c r="H327" s="142"/>
      <c r="I327" s="142"/>
      <c r="J327" s="4"/>
      <c r="K327" s="142"/>
      <c r="L327" s="142"/>
      <c r="M327" s="142"/>
      <c r="N327" s="142"/>
      <c r="O327" s="4"/>
      <c r="P327" s="4"/>
      <c r="Q327" s="142"/>
      <c r="R327" s="143"/>
      <c r="S327" s="142"/>
      <c r="T327" s="142"/>
      <c r="U327" s="142"/>
    </row>
    <row r="328" ht="14.25" customHeight="1">
      <c r="A328" s="142"/>
      <c r="B328" s="142"/>
      <c r="C328" s="142"/>
      <c r="D328" s="142"/>
      <c r="E328" s="142"/>
      <c r="F328" s="142"/>
      <c r="G328" s="142"/>
      <c r="H328" s="142"/>
      <c r="I328" s="142"/>
      <c r="J328" s="4"/>
      <c r="K328" s="142"/>
      <c r="L328" s="142"/>
      <c r="M328" s="142"/>
      <c r="N328" s="142"/>
      <c r="O328" s="4"/>
      <c r="P328" s="4"/>
      <c r="Q328" s="142"/>
      <c r="R328" s="143"/>
      <c r="S328" s="142"/>
      <c r="T328" s="142"/>
      <c r="U328" s="142"/>
    </row>
    <row r="329" ht="14.25" customHeight="1">
      <c r="A329" s="142"/>
      <c r="B329" s="142"/>
      <c r="C329" s="142"/>
      <c r="D329" s="142"/>
      <c r="E329" s="142"/>
      <c r="F329" s="142"/>
      <c r="G329" s="142"/>
      <c r="H329" s="142"/>
      <c r="I329" s="142"/>
      <c r="J329" s="4"/>
      <c r="K329" s="142"/>
      <c r="L329" s="142"/>
      <c r="M329" s="142"/>
      <c r="N329" s="142"/>
      <c r="O329" s="4"/>
      <c r="P329" s="4"/>
      <c r="Q329" s="142"/>
      <c r="R329" s="143"/>
      <c r="S329" s="142"/>
      <c r="T329" s="142"/>
      <c r="U329" s="142"/>
    </row>
    <row r="330" ht="14.25" customHeight="1">
      <c r="A330" s="142"/>
      <c r="B330" s="142"/>
      <c r="C330" s="142"/>
      <c r="D330" s="142"/>
      <c r="E330" s="142"/>
      <c r="F330" s="142"/>
      <c r="G330" s="142"/>
      <c r="H330" s="142"/>
      <c r="I330" s="142"/>
      <c r="J330" s="4"/>
      <c r="K330" s="142"/>
      <c r="L330" s="142"/>
      <c r="M330" s="142"/>
      <c r="N330" s="142"/>
      <c r="O330" s="4"/>
      <c r="P330" s="4"/>
      <c r="Q330" s="142"/>
      <c r="R330" s="143"/>
      <c r="S330" s="142"/>
      <c r="T330" s="142"/>
      <c r="U330" s="142"/>
    </row>
    <row r="331" ht="14.25" customHeight="1">
      <c r="A331" s="142"/>
      <c r="B331" s="142"/>
      <c r="C331" s="142"/>
      <c r="D331" s="142"/>
      <c r="E331" s="142"/>
      <c r="F331" s="142"/>
      <c r="G331" s="142"/>
      <c r="H331" s="142"/>
      <c r="I331" s="142"/>
      <c r="J331" s="4"/>
      <c r="K331" s="142"/>
      <c r="L331" s="142"/>
      <c r="M331" s="142"/>
      <c r="N331" s="142"/>
      <c r="O331" s="4"/>
      <c r="P331" s="4"/>
      <c r="Q331" s="142"/>
      <c r="R331" s="143"/>
      <c r="S331" s="142"/>
      <c r="T331" s="142"/>
      <c r="U331" s="142"/>
    </row>
    <row r="332" ht="14.25" customHeight="1">
      <c r="A332" s="142"/>
      <c r="B332" s="142"/>
      <c r="C332" s="142"/>
      <c r="D332" s="142"/>
      <c r="E332" s="142"/>
      <c r="F332" s="142"/>
      <c r="G332" s="142"/>
      <c r="H332" s="142"/>
      <c r="I332" s="142"/>
      <c r="J332" s="4"/>
      <c r="K332" s="142"/>
      <c r="L332" s="142"/>
      <c r="M332" s="142"/>
      <c r="N332" s="142"/>
      <c r="O332" s="4"/>
      <c r="P332" s="4"/>
      <c r="Q332" s="142"/>
      <c r="R332" s="143"/>
      <c r="S332" s="142"/>
      <c r="T332" s="142"/>
      <c r="U332" s="142"/>
    </row>
    <row r="333" ht="14.25" customHeight="1">
      <c r="A333" s="142"/>
      <c r="B333" s="142"/>
      <c r="C333" s="142"/>
      <c r="D333" s="142"/>
      <c r="E333" s="142"/>
      <c r="F333" s="142"/>
      <c r="G333" s="142"/>
      <c r="H333" s="142"/>
      <c r="I333" s="142"/>
      <c r="J333" s="4"/>
      <c r="K333" s="142"/>
      <c r="L333" s="142"/>
      <c r="M333" s="142"/>
      <c r="N333" s="142"/>
      <c r="O333" s="4"/>
      <c r="P333" s="4"/>
      <c r="Q333" s="142"/>
      <c r="R333" s="143"/>
      <c r="S333" s="142"/>
      <c r="T333" s="142"/>
      <c r="U333" s="142"/>
    </row>
    <row r="334" ht="14.25" customHeight="1">
      <c r="A334" s="142"/>
      <c r="B334" s="142"/>
      <c r="C334" s="142"/>
      <c r="D334" s="142"/>
      <c r="E334" s="142"/>
      <c r="F334" s="142"/>
      <c r="G334" s="142"/>
      <c r="H334" s="142"/>
      <c r="I334" s="142"/>
      <c r="J334" s="4"/>
      <c r="K334" s="142"/>
      <c r="L334" s="142"/>
      <c r="M334" s="142"/>
      <c r="N334" s="142"/>
      <c r="O334" s="4"/>
      <c r="P334" s="4"/>
      <c r="Q334" s="142"/>
      <c r="R334" s="143"/>
      <c r="S334" s="142"/>
      <c r="T334" s="142"/>
      <c r="U334" s="142"/>
    </row>
    <row r="335" ht="14.25" customHeight="1">
      <c r="A335" s="142"/>
      <c r="B335" s="142"/>
      <c r="C335" s="142"/>
      <c r="D335" s="142"/>
      <c r="E335" s="142"/>
      <c r="F335" s="142"/>
      <c r="G335" s="142"/>
      <c r="H335" s="142"/>
      <c r="I335" s="142"/>
      <c r="J335" s="4"/>
      <c r="K335" s="142"/>
      <c r="L335" s="142"/>
      <c r="M335" s="142"/>
      <c r="N335" s="142"/>
      <c r="O335" s="4"/>
      <c r="P335" s="4"/>
      <c r="Q335" s="142"/>
      <c r="R335" s="143"/>
      <c r="S335" s="142"/>
      <c r="T335" s="142"/>
      <c r="U335" s="142"/>
    </row>
    <row r="336" ht="14.25" customHeight="1">
      <c r="A336" s="142"/>
      <c r="B336" s="142"/>
      <c r="C336" s="142"/>
      <c r="D336" s="142"/>
      <c r="E336" s="142"/>
      <c r="F336" s="142"/>
      <c r="G336" s="142"/>
      <c r="H336" s="142"/>
      <c r="I336" s="142"/>
      <c r="J336" s="4"/>
      <c r="K336" s="142"/>
      <c r="L336" s="142"/>
      <c r="M336" s="142"/>
      <c r="N336" s="142"/>
      <c r="O336" s="4"/>
      <c r="P336" s="4"/>
      <c r="Q336" s="142"/>
      <c r="R336" s="143"/>
      <c r="S336" s="142"/>
      <c r="T336" s="142"/>
      <c r="U336" s="142"/>
    </row>
    <row r="337" ht="14.25" customHeight="1">
      <c r="A337" s="142"/>
      <c r="B337" s="142"/>
      <c r="C337" s="142"/>
      <c r="D337" s="142"/>
      <c r="E337" s="142"/>
      <c r="F337" s="142"/>
      <c r="G337" s="142"/>
      <c r="H337" s="142"/>
      <c r="I337" s="142"/>
      <c r="J337" s="4"/>
      <c r="K337" s="142"/>
      <c r="L337" s="142"/>
      <c r="M337" s="142"/>
      <c r="N337" s="142"/>
      <c r="O337" s="4"/>
      <c r="P337" s="4"/>
      <c r="Q337" s="142"/>
      <c r="R337" s="143"/>
      <c r="S337" s="142"/>
      <c r="T337" s="142"/>
      <c r="U337" s="142"/>
    </row>
    <row r="338" ht="14.25" customHeight="1">
      <c r="A338" s="142"/>
      <c r="B338" s="142"/>
      <c r="C338" s="142"/>
      <c r="D338" s="142"/>
      <c r="E338" s="142"/>
      <c r="F338" s="142"/>
      <c r="G338" s="142"/>
      <c r="H338" s="142"/>
      <c r="I338" s="142"/>
      <c r="J338" s="4"/>
      <c r="K338" s="142"/>
      <c r="L338" s="142"/>
      <c r="M338" s="142"/>
      <c r="N338" s="142"/>
      <c r="O338" s="4"/>
      <c r="P338" s="4"/>
      <c r="Q338" s="142"/>
      <c r="R338" s="143"/>
      <c r="S338" s="142"/>
      <c r="T338" s="142"/>
      <c r="U338" s="142"/>
    </row>
    <row r="339" ht="14.25" customHeight="1">
      <c r="A339" s="142"/>
      <c r="B339" s="142"/>
      <c r="C339" s="142"/>
      <c r="D339" s="142"/>
      <c r="E339" s="142"/>
      <c r="F339" s="142"/>
      <c r="G339" s="142"/>
      <c r="H339" s="142"/>
      <c r="I339" s="142"/>
      <c r="J339" s="4"/>
      <c r="K339" s="142"/>
      <c r="L339" s="142"/>
      <c r="M339" s="142"/>
      <c r="N339" s="142"/>
      <c r="O339" s="4"/>
      <c r="P339" s="4"/>
      <c r="Q339" s="142"/>
      <c r="R339" s="143"/>
      <c r="S339" s="142"/>
      <c r="T339" s="142"/>
      <c r="U339" s="142"/>
    </row>
    <row r="340" ht="14.25" customHeight="1">
      <c r="A340" s="142"/>
      <c r="B340" s="142"/>
      <c r="C340" s="142"/>
      <c r="D340" s="142"/>
      <c r="E340" s="142"/>
      <c r="F340" s="142"/>
      <c r="G340" s="142"/>
      <c r="H340" s="142"/>
      <c r="I340" s="142"/>
      <c r="J340" s="4"/>
      <c r="K340" s="142"/>
      <c r="L340" s="142"/>
      <c r="M340" s="142"/>
      <c r="N340" s="142"/>
      <c r="O340" s="4"/>
      <c r="P340" s="4"/>
      <c r="Q340" s="142"/>
      <c r="R340" s="143"/>
      <c r="S340" s="142"/>
      <c r="T340" s="142"/>
      <c r="U340" s="142"/>
    </row>
    <row r="341" ht="14.25" customHeight="1">
      <c r="A341" s="142"/>
      <c r="B341" s="142"/>
      <c r="C341" s="142"/>
      <c r="D341" s="142"/>
      <c r="E341" s="142"/>
      <c r="F341" s="142"/>
      <c r="G341" s="142"/>
      <c r="H341" s="142"/>
      <c r="I341" s="142"/>
      <c r="J341" s="4"/>
      <c r="K341" s="142"/>
      <c r="L341" s="142"/>
      <c r="M341" s="142"/>
      <c r="N341" s="142"/>
      <c r="O341" s="4"/>
      <c r="P341" s="4"/>
      <c r="Q341" s="142"/>
      <c r="R341" s="143"/>
      <c r="S341" s="142"/>
      <c r="T341" s="142"/>
      <c r="U341" s="142"/>
    </row>
    <row r="342" ht="14.25" customHeight="1">
      <c r="A342" s="142"/>
      <c r="B342" s="142"/>
      <c r="C342" s="142"/>
      <c r="D342" s="142"/>
      <c r="E342" s="142"/>
      <c r="F342" s="142"/>
      <c r="G342" s="142"/>
      <c r="H342" s="142"/>
      <c r="I342" s="142"/>
      <c r="J342" s="4"/>
      <c r="K342" s="142"/>
      <c r="L342" s="142"/>
      <c r="M342" s="142"/>
      <c r="N342" s="142"/>
      <c r="O342" s="4"/>
      <c r="P342" s="4"/>
      <c r="Q342" s="142"/>
      <c r="R342" s="143"/>
      <c r="S342" s="142"/>
      <c r="T342" s="142"/>
      <c r="U342" s="142"/>
    </row>
    <row r="343" ht="14.25" customHeight="1">
      <c r="A343" s="142"/>
      <c r="B343" s="142"/>
      <c r="C343" s="142"/>
      <c r="D343" s="142"/>
      <c r="E343" s="142"/>
      <c r="F343" s="142"/>
      <c r="G343" s="142"/>
      <c r="H343" s="142"/>
      <c r="I343" s="142"/>
      <c r="J343" s="4"/>
      <c r="K343" s="142"/>
      <c r="L343" s="142"/>
      <c r="M343" s="142"/>
      <c r="N343" s="142"/>
      <c r="O343" s="4"/>
      <c r="P343" s="4"/>
      <c r="Q343" s="142"/>
      <c r="R343" s="143"/>
      <c r="S343" s="142"/>
      <c r="T343" s="142"/>
      <c r="U343" s="142"/>
    </row>
    <row r="344" ht="14.25" customHeight="1">
      <c r="A344" s="142"/>
      <c r="B344" s="142"/>
      <c r="C344" s="142"/>
      <c r="D344" s="142"/>
      <c r="E344" s="142"/>
      <c r="F344" s="142"/>
      <c r="G344" s="142"/>
      <c r="H344" s="142"/>
      <c r="I344" s="142"/>
      <c r="J344" s="4"/>
      <c r="K344" s="142"/>
      <c r="L344" s="142"/>
      <c r="M344" s="142"/>
      <c r="N344" s="142"/>
      <c r="O344" s="4"/>
      <c r="P344" s="4"/>
      <c r="Q344" s="142"/>
      <c r="R344" s="143"/>
      <c r="S344" s="142"/>
      <c r="T344" s="142"/>
      <c r="U344" s="142"/>
    </row>
    <row r="345" ht="14.25" customHeight="1">
      <c r="A345" s="142"/>
      <c r="B345" s="142"/>
      <c r="C345" s="142"/>
      <c r="D345" s="142"/>
      <c r="E345" s="142"/>
      <c r="F345" s="142"/>
      <c r="G345" s="142"/>
      <c r="H345" s="142"/>
      <c r="I345" s="142"/>
      <c r="J345" s="4"/>
      <c r="K345" s="142"/>
      <c r="L345" s="142"/>
      <c r="M345" s="142"/>
      <c r="N345" s="142"/>
      <c r="O345" s="4"/>
      <c r="P345" s="4"/>
      <c r="Q345" s="142"/>
      <c r="R345" s="143"/>
      <c r="S345" s="142"/>
      <c r="T345" s="142"/>
      <c r="U345" s="142"/>
    </row>
    <row r="346" ht="14.25" customHeight="1">
      <c r="A346" s="142"/>
      <c r="B346" s="142"/>
      <c r="C346" s="142"/>
      <c r="D346" s="142"/>
      <c r="E346" s="142"/>
      <c r="F346" s="142"/>
      <c r="G346" s="142"/>
      <c r="H346" s="142"/>
      <c r="I346" s="142"/>
      <c r="J346" s="4"/>
      <c r="K346" s="142"/>
      <c r="L346" s="142"/>
      <c r="M346" s="142"/>
      <c r="N346" s="142"/>
      <c r="O346" s="4"/>
      <c r="P346" s="4"/>
      <c r="Q346" s="142"/>
      <c r="R346" s="143"/>
      <c r="S346" s="142"/>
      <c r="T346" s="142"/>
      <c r="U346" s="142"/>
    </row>
    <row r="347" ht="14.25" customHeight="1">
      <c r="A347" s="142"/>
      <c r="B347" s="142"/>
      <c r="C347" s="142"/>
      <c r="D347" s="142"/>
      <c r="E347" s="142"/>
      <c r="F347" s="142"/>
      <c r="G347" s="142"/>
      <c r="H347" s="142"/>
      <c r="I347" s="142"/>
      <c r="J347" s="4"/>
      <c r="K347" s="142"/>
      <c r="L347" s="142"/>
      <c r="M347" s="142"/>
      <c r="N347" s="142"/>
      <c r="O347" s="4"/>
      <c r="P347" s="4"/>
      <c r="Q347" s="142"/>
      <c r="R347" s="143"/>
      <c r="S347" s="142"/>
      <c r="T347" s="142"/>
      <c r="U347" s="142"/>
    </row>
    <row r="348" ht="14.25" customHeight="1">
      <c r="A348" s="142"/>
      <c r="B348" s="142"/>
      <c r="C348" s="142"/>
      <c r="D348" s="142"/>
      <c r="E348" s="142"/>
      <c r="F348" s="142"/>
      <c r="G348" s="142"/>
      <c r="H348" s="142"/>
      <c r="I348" s="142"/>
      <c r="J348" s="4"/>
      <c r="K348" s="142"/>
      <c r="L348" s="142"/>
      <c r="M348" s="142"/>
      <c r="N348" s="142"/>
      <c r="O348" s="4"/>
      <c r="P348" s="4"/>
      <c r="Q348" s="142"/>
      <c r="R348" s="143"/>
      <c r="S348" s="142"/>
      <c r="T348" s="142"/>
      <c r="U348" s="142"/>
    </row>
    <row r="349" ht="14.25" customHeight="1">
      <c r="A349" s="142"/>
      <c r="B349" s="142"/>
      <c r="C349" s="142"/>
      <c r="D349" s="142"/>
      <c r="E349" s="142"/>
      <c r="F349" s="142"/>
      <c r="G349" s="142"/>
      <c r="H349" s="142"/>
      <c r="I349" s="142"/>
      <c r="J349" s="4"/>
      <c r="K349" s="142"/>
      <c r="L349" s="142"/>
      <c r="M349" s="142"/>
      <c r="N349" s="142"/>
      <c r="O349" s="4"/>
      <c r="P349" s="4"/>
      <c r="Q349" s="142"/>
      <c r="R349" s="143"/>
      <c r="S349" s="142"/>
      <c r="T349" s="142"/>
      <c r="U349" s="142"/>
    </row>
    <row r="350" ht="14.25" customHeight="1">
      <c r="A350" s="142"/>
      <c r="B350" s="142"/>
      <c r="C350" s="142"/>
      <c r="D350" s="142"/>
      <c r="E350" s="142"/>
      <c r="F350" s="142"/>
      <c r="G350" s="142"/>
      <c r="H350" s="142"/>
      <c r="I350" s="142"/>
      <c r="J350" s="4"/>
      <c r="K350" s="142"/>
      <c r="L350" s="142"/>
      <c r="M350" s="142"/>
      <c r="N350" s="142"/>
      <c r="O350" s="4"/>
      <c r="P350" s="4"/>
      <c r="Q350" s="142"/>
      <c r="R350" s="143"/>
      <c r="S350" s="142"/>
      <c r="T350" s="142"/>
      <c r="U350" s="142"/>
    </row>
    <row r="351" ht="14.25" customHeight="1">
      <c r="A351" s="142"/>
      <c r="B351" s="142"/>
      <c r="C351" s="142"/>
      <c r="D351" s="142"/>
      <c r="E351" s="142"/>
      <c r="F351" s="142"/>
      <c r="G351" s="142"/>
      <c r="H351" s="142"/>
      <c r="I351" s="142"/>
      <c r="J351" s="4"/>
      <c r="K351" s="142"/>
      <c r="L351" s="142"/>
      <c r="M351" s="142"/>
      <c r="N351" s="142"/>
      <c r="O351" s="4"/>
      <c r="P351" s="4"/>
      <c r="Q351" s="142"/>
      <c r="R351" s="143"/>
      <c r="S351" s="142"/>
      <c r="T351" s="142"/>
      <c r="U351" s="142"/>
    </row>
    <row r="352" ht="14.25" customHeight="1">
      <c r="A352" s="142"/>
      <c r="B352" s="142"/>
      <c r="C352" s="142"/>
      <c r="D352" s="142"/>
      <c r="E352" s="142"/>
      <c r="F352" s="142"/>
      <c r="G352" s="142"/>
      <c r="H352" s="142"/>
      <c r="I352" s="142"/>
      <c r="J352" s="4"/>
      <c r="K352" s="142"/>
      <c r="L352" s="142"/>
      <c r="M352" s="142"/>
      <c r="N352" s="142"/>
      <c r="O352" s="4"/>
      <c r="P352" s="4"/>
      <c r="Q352" s="142"/>
      <c r="R352" s="143"/>
      <c r="S352" s="142"/>
      <c r="T352" s="142"/>
      <c r="U352" s="142"/>
    </row>
    <row r="353" ht="14.25" customHeight="1">
      <c r="A353" s="142"/>
      <c r="B353" s="142"/>
      <c r="C353" s="142"/>
      <c r="D353" s="142"/>
      <c r="E353" s="142"/>
      <c r="F353" s="142"/>
      <c r="G353" s="142"/>
      <c r="H353" s="142"/>
      <c r="I353" s="142"/>
      <c r="J353" s="4"/>
      <c r="K353" s="142"/>
      <c r="L353" s="142"/>
      <c r="M353" s="142"/>
      <c r="N353" s="142"/>
      <c r="O353" s="4"/>
      <c r="P353" s="4"/>
      <c r="Q353" s="142"/>
      <c r="R353" s="143"/>
      <c r="S353" s="142"/>
      <c r="T353" s="142"/>
      <c r="U353" s="142"/>
    </row>
    <row r="354" ht="14.25" customHeight="1">
      <c r="A354" s="142"/>
      <c r="B354" s="142"/>
      <c r="C354" s="142"/>
      <c r="D354" s="142"/>
      <c r="E354" s="142"/>
      <c r="F354" s="142"/>
      <c r="G354" s="142"/>
      <c r="H354" s="142"/>
      <c r="I354" s="142"/>
      <c r="J354" s="4"/>
      <c r="K354" s="142"/>
      <c r="L354" s="142"/>
      <c r="M354" s="142"/>
      <c r="N354" s="142"/>
      <c r="O354" s="4"/>
      <c r="P354" s="4"/>
      <c r="Q354" s="142"/>
      <c r="R354" s="143"/>
      <c r="S354" s="142"/>
      <c r="T354" s="142"/>
      <c r="U354" s="142"/>
    </row>
    <row r="355" ht="14.25" customHeight="1">
      <c r="A355" s="142"/>
      <c r="B355" s="142"/>
      <c r="C355" s="142"/>
      <c r="D355" s="142"/>
      <c r="E355" s="142"/>
      <c r="F355" s="142"/>
      <c r="G355" s="142"/>
      <c r="H355" s="142"/>
      <c r="I355" s="142"/>
      <c r="J355" s="4"/>
      <c r="K355" s="142"/>
      <c r="L355" s="142"/>
      <c r="M355" s="142"/>
      <c r="N355" s="142"/>
      <c r="O355" s="4"/>
      <c r="P355" s="4"/>
      <c r="Q355" s="142"/>
      <c r="R355" s="143"/>
      <c r="S355" s="142"/>
      <c r="T355" s="142"/>
      <c r="U355" s="142"/>
    </row>
    <row r="356" ht="14.25" customHeight="1">
      <c r="A356" s="142"/>
      <c r="B356" s="142"/>
      <c r="C356" s="142"/>
      <c r="D356" s="142"/>
      <c r="E356" s="142"/>
      <c r="F356" s="142"/>
      <c r="G356" s="142"/>
      <c r="H356" s="142"/>
      <c r="I356" s="142"/>
      <c r="J356" s="4"/>
      <c r="K356" s="142"/>
      <c r="L356" s="142"/>
      <c r="M356" s="142"/>
      <c r="N356" s="142"/>
      <c r="O356" s="4"/>
      <c r="P356" s="4"/>
      <c r="Q356" s="142"/>
      <c r="R356" s="143"/>
      <c r="S356" s="142"/>
      <c r="T356" s="142"/>
      <c r="U356" s="142"/>
    </row>
    <row r="357" ht="14.25" customHeight="1">
      <c r="A357" s="142"/>
      <c r="B357" s="142"/>
      <c r="C357" s="142"/>
      <c r="D357" s="142"/>
      <c r="E357" s="142"/>
      <c r="F357" s="142"/>
      <c r="G357" s="142"/>
      <c r="H357" s="142"/>
      <c r="I357" s="142"/>
      <c r="J357" s="4"/>
      <c r="K357" s="142"/>
      <c r="L357" s="142"/>
      <c r="M357" s="142"/>
      <c r="N357" s="142"/>
      <c r="O357" s="4"/>
      <c r="P357" s="4"/>
      <c r="Q357" s="142"/>
      <c r="R357" s="143"/>
      <c r="S357" s="142"/>
      <c r="T357" s="142"/>
      <c r="U357" s="142"/>
    </row>
    <row r="358" ht="14.25" customHeight="1">
      <c r="A358" s="142"/>
      <c r="B358" s="142"/>
      <c r="C358" s="142"/>
      <c r="D358" s="142"/>
      <c r="E358" s="142"/>
      <c r="F358" s="142"/>
      <c r="G358" s="142"/>
      <c r="H358" s="142"/>
      <c r="I358" s="142"/>
      <c r="J358" s="4"/>
      <c r="K358" s="142"/>
      <c r="L358" s="142"/>
      <c r="M358" s="142"/>
      <c r="N358" s="142"/>
      <c r="O358" s="4"/>
      <c r="P358" s="4"/>
      <c r="Q358" s="142"/>
      <c r="R358" s="143"/>
      <c r="S358" s="142"/>
      <c r="T358" s="142"/>
      <c r="U358" s="142"/>
    </row>
    <row r="359" ht="14.25" customHeight="1">
      <c r="A359" s="142"/>
      <c r="B359" s="142"/>
      <c r="C359" s="142"/>
      <c r="D359" s="142"/>
      <c r="E359" s="142"/>
      <c r="F359" s="142"/>
      <c r="G359" s="142"/>
      <c r="H359" s="142"/>
      <c r="I359" s="142"/>
      <c r="J359" s="4"/>
      <c r="K359" s="142"/>
      <c r="L359" s="142"/>
      <c r="M359" s="142"/>
      <c r="N359" s="142"/>
      <c r="O359" s="4"/>
      <c r="P359" s="4"/>
      <c r="Q359" s="142"/>
      <c r="R359" s="143"/>
      <c r="S359" s="142"/>
      <c r="T359" s="142"/>
      <c r="U359" s="142"/>
    </row>
    <row r="360" ht="14.25" customHeight="1">
      <c r="A360" s="142"/>
      <c r="B360" s="142"/>
      <c r="C360" s="142"/>
      <c r="D360" s="142"/>
      <c r="E360" s="142"/>
      <c r="F360" s="142"/>
      <c r="G360" s="142"/>
      <c r="H360" s="142"/>
      <c r="I360" s="142"/>
      <c r="J360" s="4"/>
      <c r="K360" s="142"/>
      <c r="L360" s="142"/>
      <c r="M360" s="142"/>
      <c r="N360" s="142"/>
      <c r="O360" s="4"/>
      <c r="P360" s="4"/>
      <c r="Q360" s="142"/>
      <c r="R360" s="143"/>
      <c r="S360" s="142"/>
      <c r="T360" s="142"/>
      <c r="U360" s="142"/>
    </row>
    <row r="361" ht="14.25" customHeight="1">
      <c r="A361" s="142"/>
      <c r="B361" s="142"/>
      <c r="C361" s="142"/>
      <c r="D361" s="142"/>
      <c r="E361" s="142"/>
      <c r="F361" s="142"/>
      <c r="G361" s="142"/>
      <c r="H361" s="142"/>
      <c r="I361" s="142"/>
      <c r="J361" s="4"/>
      <c r="K361" s="142"/>
      <c r="L361" s="142"/>
      <c r="M361" s="142"/>
      <c r="N361" s="142"/>
      <c r="O361" s="4"/>
      <c r="P361" s="4"/>
      <c r="Q361" s="142"/>
      <c r="R361" s="143"/>
      <c r="S361" s="142"/>
      <c r="T361" s="142"/>
      <c r="U361" s="142"/>
    </row>
    <row r="362" ht="14.25" customHeight="1">
      <c r="A362" s="142"/>
      <c r="B362" s="142"/>
      <c r="C362" s="142"/>
      <c r="D362" s="142"/>
      <c r="E362" s="142"/>
      <c r="F362" s="142"/>
      <c r="G362" s="142"/>
      <c r="H362" s="142"/>
      <c r="I362" s="142"/>
      <c r="J362" s="4"/>
      <c r="K362" s="142"/>
      <c r="L362" s="142"/>
      <c r="M362" s="142"/>
      <c r="N362" s="142"/>
      <c r="O362" s="4"/>
      <c r="P362" s="4"/>
      <c r="Q362" s="142"/>
      <c r="R362" s="143"/>
      <c r="S362" s="142"/>
      <c r="T362" s="142"/>
      <c r="U362" s="142"/>
    </row>
    <row r="363" ht="14.25" customHeight="1">
      <c r="A363" s="142"/>
      <c r="B363" s="142"/>
      <c r="C363" s="142"/>
      <c r="D363" s="142"/>
      <c r="E363" s="142"/>
      <c r="F363" s="142"/>
      <c r="G363" s="142"/>
      <c r="H363" s="142"/>
      <c r="I363" s="142"/>
      <c r="J363" s="4"/>
      <c r="K363" s="142"/>
      <c r="L363" s="142"/>
      <c r="M363" s="142"/>
      <c r="N363" s="142"/>
      <c r="O363" s="4"/>
      <c r="P363" s="4"/>
      <c r="Q363" s="142"/>
      <c r="R363" s="143"/>
      <c r="S363" s="142"/>
      <c r="T363" s="142"/>
      <c r="U363" s="142"/>
    </row>
    <row r="364" ht="14.25" customHeight="1">
      <c r="A364" s="142"/>
      <c r="B364" s="142"/>
      <c r="C364" s="142"/>
      <c r="D364" s="142"/>
      <c r="E364" s="142"/>
      <c r="F364" s="142"/>
      <c r="G364" s="142"/>
      <c r="H364" s="142"/>
      <c r="I364" s="142"/>
      <c r="J364" s="4"/>
      <c r="K364" s="142"/>
      <c r="L364" s="142"/>
      <c r="M364" s="142"/>
      <c r="N364" s="142"/>
      <c r="O364" s="4"/>
      <c r="P364" s="4"/>
      <c r="Q364" s="142"/>
      <c r="R364" s="143"/>
      <c r="S364" s="142"/>
      <c r="T364" s="142"/>
      <c r="U364" s="142"/>
    </row>
    <row r="365" ht="14.25" customHeight="1">
      <c r="A365" s="142"/>
      <c r="B365" s="142"/>
      <c r="C365" s="142"/>
      <c r="D365" s="142"/>
      <c r="E365" s="142"/>
      <c r="F365" s="142"/>
      <c r="G365" s="142"/>
      <c r="H365" s="142"/>
      <c r="I365" s="142"/>
      <c r="J365" s="4"/>
      <c r="K365" s="142"/>
      <c r="L365" s="142"/>
      <c r="M365" s="142"/>
      <c r="N365" s="142"/>
      <c r="O365" s="4"/>
      <c r="P365" s="4"/>
      <c r="Q365" s="142"/>
      <c r="R365" s="143"/>
      <c r="S365" s="142"/>
      <c r="T365" s="142"/>
      <c r="U365" s="142"/>
    </row>
    <row r="366" ht="14.25" customHeight="1">
      <c r="A366" s="142"/>
      <c r="B366" s="142"/>
      <c r="C366" s="142"/>
      <c r="D366" s="142"/>
      <c r="E366" s="142"/>
      <c r="F366" s="142"/>
      <c r="G366" s="142"/>
      <c r="H366" s="142"/>
      <c r="I366" s="142"/>
      <c r="J366" s="4"/>
      <c r="K366" s="142"/>
      <c r="L366" s="142"/>
      <c r="M366" s="142"/>
      <c r="N366" s="142"/>
      <c r="O366" s="4"/>
      <c r="P366" s="4"/>
      <c r="Q366" s="142"/>
      <c r="R366" s="143"/>
      <c r="S366" s="142"/>
      <c r="T366" s="142"/>
      <c r="U366" s="142"/>
    </row>
    <row r="367" ht="14.25" customHeight="1">
      <c r="A367" s="142"/>
      <c r="B367" s="142"/>
      <c r="C367" s="142"/>
      <c r="D367" s="142"/>
      <c r="E367" s="142"/>
      <c r="F367" s="142"/>
      <c r="G367" s="142"/>
      <c r="H367" s="142"/>
      <c r="I367" s="142"/>
      <c r="J367" s="4"/>
      <c r="K367" s="142"/>
      <c r="L367" s="142"/>
      <c r="M367" s="142"/>
      <c r="N367" s="142"/>
      <c r="O367" s="4"/>
      <c r="P367" s="4"/>
      <c r="Q367" s="142"/>
      <c r="R367" s="143"/>
      <c r="S367" s="142"/>
      <c r="T367" s="142"/>
      <c r="U367" s="142"/>
    </row>
    <row r="368" ht="14.25" customHeight="1">
      <c r="A368" s="142"/>
      <c r="B368" s="142"/>
      <c r="C368" s="142"/>
      <c r="D368" s="142"/>
      <c r="E368" s="142"/>
      <c r="F368" s="142"/>
      <c r="G368" s="142"/>
      <c r="H368" s="142"/>
      <c r="I368" s="142"/>
      <c r="J368" s="4"/>
      <c r="K368" s="142"/>
      <c r="L368" s="142"/>
      <c r="M368" s="142"/>
      <c r="N368" s="142"/>
      <c r="O368" s="4"/>
      <c r="P368" s="4"/>
      <c r="Q368" s="142"/>
      <c r="R368" s="143"/>
      <c r="S368" s="142"/>
      <c r="T368" s="142"/>
      <c r="U368" s="142"/>
    </row>
    <row r="369" ht="14.25" customHeight="1">
      <c r="A369" s="142"/>
      <c r="B369" s="142"/>
      <c r="C369" s="142"/>
      <c r="D369" s="142"/>
      <c r="E369" s="142"/>
      <c r="F369" s="142"/>
      <c r="G369" s="142"/>
      <c r="H369" s="142"/>
      <c r="I369" s="142"/>
      <c r="J369" s="4"/>
      <c r="K369" s="142"/>
      <c r="L369" s="142"/>
      <c r="M369" s="142"/>
      <c r="N369" s="142"/>
      <c r="O369" s="4"/>
      <c r="P369" s="4"/>
      <c r="Q369" s="142"/>
      <c r="R369" s="143"/>
      <c r="S369" s="142"/>
      <c r="T369" s="142"/>
      <c r="U369" s="142"/>
    </row>
    <row r="370" ht="14.25" customHeight="1">
      <c r="A370" s="142"/>
      <c r="B370" s="142"/>
      <c r="C370" s="142"/>
      <c r="D370" s="142"/>
      <c r="E370" s="142"/>
      <c r="F370" s="142"/>
      <c r="G370" s="142"/>
      <c r="H370" s="142"/>
      <c r="I370" s="142"/>
      <c r="J370" s="4"/>
      <c r="K370" s="142"/>
      <c r="L370" s="142"/>
      <c r="M370" s="142"/>
      <c r="N370" s="142"/>
      <c r="O370" s="4"/>
      <c r="P370" s="4"/>
      <c r="Q370" s="142"/>
      <c r="R370" s="143"/>
      <c r="S370" s="142"/>
      <c r="T370" s="142"/>
      <c r="U370" s="142"/>
    </row>
    <row r="371" ht="14.25" customHeight="1">
      <c r="A371" s="142"/>
      <c r="B371" s="142"/>
      <c r="C371" s="142"/>
      <c r="D371" s="142"/>
      <c r="E371" s="142"/>
      <c r="F371" s="142"/>
      <c r="G371" s="142"/>
      <c r="H371" s="142"/>
      <c r="I371" s="142"/>
      <c r="J371" s="4"/>
      <c r="K371" s="142"/>
      <c r="L371" s="142"/>
      <c r="M371" s="142"/>
      <c r="N371" s="142"/>
      <c r="O371" s="4"/>
      <c r="P371" s="4"/>
      <c r="Q371" s="142"/>
      <c r="R371" s="143"/>
      <c r="S371" s="142"/>
      <c r="T371" s="142"/>
      <c r="U371" s="142"/>
    </row>
    <row r="372" ht="14.25" customHeight="1">
      <c r="A372" s="142"/>
      <c r="B372" s="142"/>
      <c r="C372" s="142"/>
      <c r="D372" s="142"/>
      <c r="E372" s="142"/>
      <c r="F372" s="142"/>
      <c r="G372" s="142"/>
      <c r="H372" s="142"/>
      <c r="I372" s="142"/>
      <c r="J372" s="4"/>
      <c r="K372" s="142"/>
      <c r="L372" s="142"/>
      <c r="M372" s="142"/>
      <c r="N372" s="142"/>
      <c r="O372" s="4"/>
      <c r="P372" s="4"/>
      <c r="Q372" s="142"/>
      <c r="R372" s="143"/>
      <c r="S372" s="142"/>
      <c r="T372" s="142"/>
      <c r="U372" s="142"/>
    </row>
    <row r="373" ht="14.25" customHeight="1">
      <c r="A373" s="142"/>
      <c r="B373" s="142"/>
      <c r="C373" s="142"/>
      <c r="D373" s="142"/>
      <c r="E373" s="142"/>
      <c r="F373" s="142"/>
      <c r="G373" s="142"/>
      <c r="H373" s="142"/>
      <c r="I373" s="142"/>
      <c r="J373" s="4"/>
      <c r="K373" s="142"/>
      <c r="L373" s="142"/>
      <c r="M373" s="142"/>
      <c r="N373" s="142"/>
      <c r="O373" s="4"/>
      <c r="P373" s="4"/>
      <c r="Q373" s="142"/>
      <c r="R373" s="143"/>
      <c r="S373" s="142"/>
      <c r="T373" s="142"/>
      <c r="U373" s="142"/>
    </row>
    <row r="374" ht="14.25" customHeight="1">
      <c r="A374" s="142"/>
      <c r="B374" s="142"/>
      <c r="C374" s="142"/>
      <c r="D374" s="142"/>
      <c r="E374" s="142"/>
      <c r="F374" s="142"/>
      <c r="G374" s="142"/>
      <c r="H374" s="142"/>
      <c r="I374" s="142"/>
      <c r="J374" s="4"/>
      <c r="K374" s="142"/>
      <c r="L374" s="142"/>
      <c r="M374" s="142"/>
      <c r="N374" s="142"/>
      <c r="O374" s="4"/>
      <c r="P374" s="4"/>
      <c r="Q374" s="142"/>
      <c r="R374" s="143"/>
      <c r="S374" s="142"/>
      <c r="T374" s="142"/>
      <c r="U374" s="142"/>
    </row>
    <row r="375" ht="14.25" customHeight="1">
      <c r="A375" s="142"/>
      <c r="B375" s="142"/>
      <c r="C375" s="142"/>
      <c r="D375" s="142"/>
      <c r="E375" s="142"/>
      <c r="F375" s="142"/>
      <c r="G375" s="142"/>
      <c r="H375" s="142"/>
      <c r="I375" s="142"/>
      <c r="J375" s="4"/>
      <c r="K375" s="142"/>
      <c r="L375" s="142"/>
      <c r="M375" s="142"/>
      <c r="N375" s="142"/>
      <c r="O375" s="4"/>
      <c r="P375" s="4"/>
      <c r="Q375" s="142"/>
      <c r="R375" s="143"/>
      <c r="S375" s="142"/>
      <c r="T375" s="142"/>
      <c r="U375" s="142"/>
    </row>
    <row r="376" ht="14.25" customHeight="1">
      <c r="A376" s="142"/>
      <c r="B376" s="142"/>
      <c r="C376" s="142"/>
      <c r="D376" s="142"/>
      <c r="E376" s="142"/>
      <c r="F376" s="142"/>
      <c r="G376" s="142"/>
      <c r="H376" s="142"/>
      <c r="I376" s="142"/>
      <c r="J376" s="4"/>
      <c r="K376" s="142"/>
      <c r="L376" s="142"/>
      <c r="M376" s="142"/>
      <c r="N376" s="142"/>
      <c r="O376" s="4"/>
      <c r="P376" s="4"/>
      <c r="Q376" s="142"/>
      <c r="R376" s="143"/>
      <c r="S376" s="142"/>
      <c r="T376" s="142"/>
      <c r="U376" s="142"/>
    </row>
    <row r="377" ht="14.25" customHeight="1">
      <c r="A377" s="142"/>
      <c r="B377" s="142"/>
      <c r="C377" s="142"/>
      <c r="D377" s="142"/>
      <c r="E377" s="142"/>
      <c r="F377" s="142"/>
      <c r="G377" s="142"/>
      <c r="H377" s="142"/>
      <c r="I377" s="142"/>
      <c r="J377" s="4"/>
      <c r="K377" s="142"/>
      <c r="L377" s="142"/>
      <c r="M377" s="142"/>
      <c r="N377" s="142"/>
      <c r="O377" s="4"/>
      <c r="P377" s="4"/>
      <c r="Q377" s="142"/>
      <c r="R377" s="143"/>
      <c r="S377" s="142"/>
      <c r="T377" s="142"/>
      <c r="U377" s="142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</sheetData>
  <autoFilter ref="$A$2:$Q$3"/>
  <mergeCells count="15">
    <mergeCell ref="D5:D6"/>
    <mergeCell ref="E5:E6"/>
    <mergeCell ref="A177:F177"/>
    <mergeCell ref="F5:F6"/>
    <mergeCell ref="Q5:Q6"/>
    <mergeCell ref="R5:R6"/>
    <mergeCell ref="S5:S6"/>
    <mergeCell ref="T5:T6"/>
    <mergeCell ref="A1:Q1"/>
    <mergeCell ref="A2:Q2"/>
    <mergeCell ref="A3:Q3"/>
    <mergeCell ref="A4:Q4"/>
    <mergeCell ref="A5:A6"/>
    <mergeCell ref="B5:B6"/>
    <mergeCell ref="C5:C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min="1" max="1" width="14.43"/>
    <col customWidth="1" min="2" max="2" width="17.71"/>
    <col customWidth="1" min="3" max="3" width="37.43"/>
    <col customWidth="1" min="4" max="4" width="33.0"/>
    <col customWidth="1" min="5" max="5" width="15.86"/>
    <col customWidth="1" min="6" max="6" width="14.43"/>
  </cols>
  <sheetData>
    <row r="1" ht="15.0" customHeight="1">
      <c r="A1" s="144" t="s">
        <v>157</v>
      </c>
      <c r="B1" s="144" t="s">
        <v>622</v>
      </c>
      <c r="C1" s="144" t="s">
        <v>159</v>
      </c>
      <c r="D1" s="144" t="s">
        <v>160</v>
      </c>
      <c r="E1" s="144" t="s">
        <v>161</v>
      </c>
      <c r="F1" s="144" t="s">
        <v>162</v>
      </c>
      <c r="G1" s="145" t="s">
        <v>58</v>
      </c>
      <c r="H1" s="145" t="s">
        <v>61</v>
      </c>
      <c r="I1" s="145" t="s">
        <v>64</v>
      </c>
      <c r="J1" s="145" t="s">
        <v>67</v>
      </c>
      <c r="K1" s="145" t="s">
        <v>70</v>
      </c>
      <c r="L1" s="145" t="s">
        <v>73</v>
      </c>
      <c r="M1" s="145" t="s">
        <v>76</v>
      </c>
      <c r="N1" s="145" t="s">
        <v>79</v>
      </c>
      <c r="O1" s="145" t="s">
        <v>82</v>
      </c>
      <c r="P1" s="145" t="s">
        <v>83</v>
      </c>
      <c r="Q1" s="146"/>
    </row>
    <row r="2" ht="15.0" customHeight="1">
      <c r="A2" s="93"/>
      <c r="B2" s="93"/>
      <c r="C2" s="93"/>
      <c r="D2" s="93"/>
      <c r="E2" s="93"/>
      <c r="F2" s="93"/>
      <c r="G2" s="123" t="s">
        <v>163</v>
      </c>
      <c r="H2" s="123" t="s">
        <v>163</v>
      </c>
      <c r="I2" s="123" t="s">
        <v>163</v>
      </c>
      <c r="J2" s="123" t="s">
        <v>163</v>
      </c>
      <c r="K2" s="123" t="s">
        <v>163</v>
      </c>
      <c r="L2" s="123" t="s">
        <v>163</v>
      </c>
      <c r="M2" s="123" t="s">
        <v>163</v>
      </c>
      <c r="N2" s="123" t="s">
        <v>163</v>
      </c>
      <c r="O2" s="123" t="s">
        <v>163</v>
      </c>
      <c r="P2" s="123" t="s">
        <v>163</v>
      </c>
      <c r="Q2" s="147"/>
    </row>
    <row r="3" ht="15.0" customHeight="1">
      <c r="A3" s="95">
        <v>1.0</v>
      </c>
      <c r="B3" s="96" t="s">
        <v>427</v>
      </c>
      <c r="C3" s="97" t="s">
        <v>428</v>
      </c>
      <c r="D3" s="97" t="s">
        <v>429</v>
      </c>
      <c r="E3" s="95"/>
      <c r="F3" s="148" t="s">
        <v>623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>
        <f t="shared" ref="Q3:Q12" si="1">COUNTA(G3:P3)</f>
        <v>0</v>
      </c>
    </row>
    <row r="4" ht="15.0" customHeight="1">
      <c r="A4" s="95">
        <v>2.0</v>
      </c>
      <c r="B4" s="96" t="s">
        <v>430</v>
      </c>
      <c r="C4" s="97" t="s">
        <v>431</v>
      </c>
      <c r="D4" s="97" t="s">
        <v>432</v>
      </c>
      <c r="E4" s="95"/>
      <c r="F4" s="101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>
        <f t="shared" si="1"/>
        <v>0</v>
      </c>
    </row>
    <row r="5" ht="15.0" customHeight="1">
      <c r="A5" s="95">
        <v>3.0</v>
      </c>
      <c r="B5" s="96" t="s">
        <v>433</v>
      </c>
      <c r="C5" s="97" t="s">
        <v>434</v>
      </c>
      <c r="D5" s="97" t="s">
        <v>435</v>
      </c>
      <c r="E5" s="95"/>
      <c r="F5" s="101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>
        <f t="shared" si="1"/>
        <v>0</v>
      </c>
    </row>
    <row r="6" ht="15.0" customHeight="1">
      <c r="A6" s="95">
        <v>4.0</v>
      </c>
      <c r="B6" s="96" t="s">
        <v>436</v>
      </c>
      <c r="C6" s="97" t="s">
        <v>437</v>
      </c>
      <c r="D6" s="97" t="s">
        <v>438</v>
      </c>
      <c r="E6" s="95"/>
      <c r="F6" s="101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>
        <f t="shared" si="1"/>
        <v>0</v>
      </c>
    </row>
    <row r="7" ht="15.0" customHeight="1">
      <c r="A7" s="95">
        <v>5.0</v>
      </c>
      <c r="B7" s="96" t="s">
        <v>439</v>
      </c>
      <c r="C7" s="97" t="s">
        <v>440</v>
      </c>
      <c r="D7" s="97" t="s">
        <v>441</v>
      </c>
      <c r="E7" s="95"/>
      <c r="F7" s="101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>
        <f t="shared" si="1"/>
        <v>0</v>
      </c>
    </row>
    <row r="8" ht="15.0" customHeight="1">
      <c r="A8" s="95">
        <v>6.0</v>
      </c>
      <c r="B8" s="96" t="s">
        <v>442</v>
      </c>
      <c r="C8" s="97" t="s">
        <v>443</v>
      </c>
      <c r="D8" s="97" t="s">
        <v>444</v>
      </c>
      <c r="E8" s="95"/>
      <c r="F8" s="101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>
        <f t="shared" si="1"/>
        <v>0</v>
      </c>
    </row>
    <row r="9" ht="15.0" customHeight="1">
      <c r="A9" s="95">
        <v>7.0</v>
      </c>
      <c r="B9" s="96" t="s">
        <v>445</v>
      </c>
      <c r="C9" s="97" t="s">
        <v>446</v>
      </c>
      <c r="D9" s="97" t="s">
        <v>447</v>
      </c>
      <c r="E9" s="95"/>
      <c r="F9" s="101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>
        <f t="shared" si="1"/>
        <v>0</v>
      </c>
    </row>
    <row r="10" ht="15.0" customHeight="1">
      <c r="A10" s="95">
        <v>8.0</v>
      </c>
      <c r="B10" s="96" t="s">
        <v>448</v>
      </c>
      <c r="C10" s="97" t="s">
        <v>449</v>
      </c>
      <c r="D10" s="97" t="s">
        <v>450</v>
      </c>
      <c r="E10" s="95"/>
      <c r="F10" s="101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>
        <f t="shared" si="1"/>
        <v>0</v>
      </c>
    </row>
    <row r="11" ht="15.0" customHeight="1">
      <c r="A11" s="95">
        <v>9.0</v>
      </c>
      <c r="B11" s="96" t="s">
        <v>451</v>
      </c>
      <c r="C11" s="97" t="s">
        <v>452</v>
      </c>
      <c r="D11" s="97" t="s">
        <v>453</v>
      </c>
      <c r="E11" s="95"/>
      <c r="F11" s="101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>
        <f t="shared" si="1"/>
        <v>0</v>
      </c>
    </row>
    <row r="12" ht="15.0" customHeight="1">
      <c r="A12" s="95">
        <v>10.0</v>
      </c>
      <c r="B12" s="96" t="s">
        <v>454</v>
      </c>
      <c r="C12" s="97" t="s">
        <v>455</v>
      </c>
      <c r="D12" s="97" t="s">
        <v>456</v>
      </c>
      <c r="E12" s="95"/>
      <c r="F12" s="93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>
        <f t="shared" si="1"/>
        <v>0</v>
      </c>
    </row>
    <row r="13" ht="15.0" customHeight="1">
      <c r="A13" s="102"/>
      <c r="B13" s="102"/>
      <c r="C13" s="102"/>
      <c r="D13" s="102"/>
      <c r="E13" s="102"/>
      <c r="F13" s="102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</row>
    <row r="14" ht="15.0" customHeight="1">
      <c r="A14" s="95">
        <v>1.0</v>
      </c>
      <c r="B14" s="96" t="s">
        <v>457</v>
      </c>
      <c r="C14" s="97" t="s">
        <v>458</v>
      </c>
      <c r="D14" s="97" t="s">
        <v>459</v>
      </c>
      <c r="E14" s="95"/>
      <c r="F14" s="148" t="s">
        <v>624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>
        <f t="shared" ref="Q14:Q34" si="2">COUNTA(G14:P14)</f>
        <v>0</v>
      </c>
    </row>
    <row r="15" ht="15.0" customHeight="1">
      <c r="A15" s="95">
        <v>2.0</v>
      </c>
      <c r="B15" s="96" t="s">
        <v>460</v>
      </c>
      <c r="C15" s="97" t="s">
        <v>461</v>
      </c>
      <c r="D15" s="97" t="s">
        <v>462</v>
      </c>
      <c r="E15" s="95"/>
      <c r="F15" s="101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>
        <f t="shared" si="2"/>
        <v>0</v>
      </c>
    </row>
    <row r="16" ht="15.0" customHeight="1">
      <c r="A16" s="95">
        <v>3.0</v>
      </c>
      <c r="B16" s="96" t="s">
        <v>463</v>
      </c>
      <c r="C16" s="97" t="s">
        <v>464</v>
      </c>
      <c r="D16" s="97" t="s">
        <v>465</v>
      </c>
      <c r="E16" s="95"/>
      <c r="F16" s="101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>
        <f t="shared" si="2"/>
        <v>0</v>
      </c>
    </row>
    <row r="17" ht="15.0" customHeight="1">
      <c r="A17" s="95">
        <v>4.0</v>
      </c>
      <c r="B17" s="96" t="s">
        <v>466</v>
      </c>
      <c r="C17" s="97" t="s">
        <v>467</v>
      </c>
      <c r="D17" s="97" t="s">
        <v>468</v>
      </c>
      <c r="E17" s="95"/>
      <c r="F17" s="101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>
        <f t="shared" si="2"/>
        <v>0</v>
      </c>
    </row>
    <row r="18" ht="15.0" customHeight="1">
      <c r="A18" s="95">
        <v>5.0</v>
      </c>
      <c r="B18" s="96" t="s">
        <v>469</v>
      </c>
      <c r="C18" s="97" t="s">
        <v>470</v>
      </c>
      <c r="D18" s="97" t="s">
        <v>471</v>
      </c>
      <c r="E18" s="95"/>
      <c r="F18" s="101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>
        <f t="shared" si="2"/>
        <v>0</v>
      </c>
    </row>
    <row r="19" ht="15.0" customHeight="1">
      <c r="A19" s="95">
        <v>6.0</v>
      </c>
      <c r="B19" s="96" t="s">
        <v>472</v>
      </c>
      <c r="C19" s="97" t="s">
        <v>473</v>
      </c>
      <c r="D19" s="97" t="s">
        <v>474</v>
      </c>
      <c r="E19" s="95"/>
      <c r="F19" s="101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>
        <f t="shared" si="2"/>
        <v>0</v>
      </c>
    </row>
    <row r="20" ht="15.0" customHeight="1">
      <c r="A20" s="95">
        <v>7.0</v>
      </c>
      <c r="B20" s="96" t="s">
        <v>475</v>
      </c>
      <c r="C20" s="97" t="s">
        <v>476</v>
      </c>
      <c r="D20" s="97" t="s">
        <v>477</v>
      </c>
      <c r="E20" s="95"/>
      <c r="F20" s="101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>
        <f t="shared" si="2"/>
        <v>0</v>
      </c>
    </row>
    <row r="21" ht="15.0" customHeight="1">
      <c r="A21" s="95">
        <v>8.0</v>
      </c>
      <c r="B21" s="96" t="s">
        <v>478</v>
      </c>
      <c r="C21" s="97" t="s">
        <v>479</v>
      </c>
      <c r="D21" s="97" t="s">
        <v>480</v>
      </c>
      <c r="E21" s="95"/>
      <c r="F21" s="101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>
        <f t="shared" si="2"/>
        <v>0</v>
      </c>
    </row>
    <row r="22" ht="15.0" customHeight="1">
      <c r="A22" s="95">
        <v>9.0</v>
      </c>
      <c r="B22" s="96" t="s">
        <v>481</v>
      </c>
      <c r="C22" s="97" t="s">
        <v>482</v>
      </c>
      <c r="D22" s="97" t="s">
        <v>483</v>
      </c>
      <c r="E22" s="95"/>
      <c r="F22" s="101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>
        <f t="shared" si="2"/>
        <v>0</v>
      </c>
    </row>
    <row r="23" ht="15.0" customHeight="1">
      <c r="A23" s="95">
        <v>10.0</v>
      </c>
      <c r="B23" s="96" t="s">
        <v>484</v>
      </c>
      <c r="C23" s="97" t="s">
        <v>485</v>
      </c>
      <c r="D23" s="97" t="s">
        <v>486</v>
      </c>
      <c r="E23" s="95"/>
      <c r="F23" s="93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>
        <f t="shared" si="2"/>
        <v>0</v>
      </c>
    </row>
    <row r="24" ht="15.0" customHeight="1">
      <c r="A24" s="102"/>
      <c r="B24" s="102"/>
      <c r="C24" s="102"/>
      <c r="D24" s="102"/>
      <c r="E24" s="102"/>
      <c r="F24" s="102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>
        <f t="shared" si="2"/>
        <v>0</v>
      </c>
    </row>
    <row r="25" ht="15.0" customHeight="1">
      <c r="A25" s="95">
        <v>1.0</v>
      </c>
      <c r="B25" s="96" t="s">
        <v>487</v>
      </c>
      <c r="C25" s="97" t="s">
        <v>488</v>
      </c>
      <c r="D25" s="97" t="s">
        <v>489</v>
      </c>
      <c r="E25" s="95"/>
      <c r="F25" s="148" t="s">
        <v>625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>
        <f t="shared" si="2"/>
        <v>0</v>
      </c>
    </row>
    <row r="26" ht="15.0" customHeight="1">
      <c r="A26" s="95">
        <v>2.0</v>
      </c>
      <c r="B26" s="96" t="s">
        <v>490</v>
      </c>
      <c r="C26" s="97" t="s">
        <v>491</v>
      </c>
      <c r="D26" s="97" t="s">
        <v>492</v>
      </c>
      <c r="E26" s="95"/>
      <c r="F26" s="101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>
        <f t="shared" si="2"/>
        <v>0</v>
      </c>
    </row>
    <row r="27" ht="15.0" customHeight="1">
      <c r="A27" s="95">
        <v>3.0</v>
      </c>
      <c r="B27" s="96" t="s">
        <v>493</v>
      </c>
      <c r="C27" s="97" t="s">
        <v>494</v>
      </c>
      <c r="D27" s="97" t="s">
        <v>495</v>
      </c>
      <c r="E27" s="95"/>
      <c r="F27" s="101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>
        <f t="shared" si="2"/>
        <v>0</v>
      </c>
    </row>
    <row r="28" ht="15.0" customHeight="1">
      <c r="A28" s="95">
        <v>4.0</v>
      </c>
      <c r="B28" s="135" t="s">
        <v>498</v>
      </c>
      <c r="C28" s="134" t="s">
        <v>499</v>
      </c>
      <c r="D28" s="134" t="s">
        <v>500</v>
      </c>
      <c r="E28" s="95"/>
      <c r="F28" s="101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>
        <f t="shared" si="2"/>
        <v>0</v>
      </c>
    </row>
    <row r="29" ht="15.0" customHeight="1">
      <c r="A29" s="95">
        <v>5.0</v>
      </c>
      <c r="B29" s="135" t="s">
        <v>501</v>
      </c>
      <c r="C29" s="134" t="s">
        <v>502</v>
      </c>
      <c r="D29" s="134" t="s">
        <v>503</v>
      </c>
      <c r="E29" s="95"/>
      <c r="F29" s="101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>
        <f t="shared" si="2"/>
        <v>0</v>
      </c>
    </row>
    <row r="30" ht="15.0" customHeight="1">
      <c r="A30" s="95">
        <v>6.0</v>
      </c>
      <c r="B30" s="135" t="s">
        <v>504</v>
      </c>
      <c r="C30" s="134" t="s">
        <v>505</v>
      </c>
      <c r="D30" s="134" t="s">
        <v>506</v>
      </c>
      <c r="E30" s="95"/>
      <c r="F30" s="101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>
        <f t="shared" si="2"/>
        <v>0</v>
      </c>
    </row>
    <row r="31" ht="15.0" customHeight="1">
      <c r="A31" s="95">
        <v>7.0</v>
      </c>
      <c r="B31" s="135" t="s">
        <v>507</v>
      </c>
      <c r="C31" s="134" t="s">
        <v>508</v>
      </c>
      <c r="D31" s="134" t="s">
        <v>509</v>
      </c>
      <c r="E31" s="95"/>
      <c r="F31" s="101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>
        <f t="shared" si="2"/>
        <v>0</v>
      </c>
    </row>
    <row r="32" ht="15.0" customHeight="1">
      <c r="A32" s="95">
        <v>8.0</v>
      </c>
      <c r="B32" s="135" t="s">
        <v>510</v>
      </c>
      <c r="C32" s="134" t="s">
        <v>511</v>
      </c>
      <c r="D32" s="134" t="s">
        <v>512</v>
      </c>
      <c r="E32" s="95"/>
      <c r="F32" s="101"/>
      <c r="G32" s="100"/>
      <c r="H32" s="100"/>
      <c r="I32" s="100"/>
      <c r="J32" s="100"/>
      <c r="K32" s="100"/>
      <c r="M32" s="100"/>
      <c r="N32" s="100"/>
      <c r="O32" s="100"/>
      <c r="P32" s="100"/>
      <c r="Q32" s="100">
        <f t="shared" si="2"/>
        <v>0</v>
      </c>
    </row>
    <row r="33" ht="15.0" customHeight="1">
      <c r="A33" s="95">
        <v>9.0</v>
      </c>
      <c r="B33" s="135" t="s">
        <v>513</v>
      </c>
      <c r="C33" s="134" t="s">
        <v>514</v>
      </c>
      <c r="D33" s="134" t="s">
        <v>515</v>
      </c>
      <c r="E33" s="95"/>
      <c r="F33" s="101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>
        <f t="shared" si="2"/>
        <v>0</v>
      </c>
    </row>
    <row r="34" ht="15.0" customHeight="1">
      <c r="A34" s="95">
        <v>10.0</v>
      </c>
      <c r="C34" s="149" t="s">
        <v>496</v>
      </c>
      <c r="D34" s="149" t="s">
        <v>497</v>
      </c>
      <c r="E34" s="95"/>
      <c r="F34" s="93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>
        <f t="shared" si="2"/>
        <v>0</v>
      </c>
    </row>
    <row r="35" ht="15.0" customHeight="1">
      <c r="A35" s="102"/>
      <c r="B35" s="102"/>
      <c r="C35" s="102"/>
      <c r="D35" s="102"/>
      <c r="E35" s="102"/>
      <c r="F35" s="102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</row>
    <row r="36" ht="15.0" customHeight="1">
      <c r="A36" s="95">
        <v>1.0</v>
      </c>
      <c r="B36" s="135" t="s">
        <v>516</v>
      </c>
      <c r="C36" s="134" t="s">
        <v>517</v>
      </c>
      <c r="D36" s="134" t="s">
        <v>518</v>
      </c>
      <c r="E36" s="95"/>
      <c r="F36" s="148" t="s">
        <v>626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>
        <f t="shared" ref="Q36:Q45" si="3">COUNTA(G36:P36)</f>
        <v>0</v>
      </c>
    </row>
    <row r="37" ht="15.0" customHeight="1">
      <c r="A37" s="95">
        <v>2.0</v>
      </c>
      <c r="B37" s="135" t="s">
        <v>519</v>
      </c>
      <c r="C37" s="134" t="s">
        <v>520</v>
      </c>
      <c r="D37" s="134" t="s">
        <v>521</v>
      </c>
      <c r="E37" s="95"/>
      <c r="F37" s="101"/>
      <c r="G37" s="100"/>
      <c r="H37" s="100"/>
      <c r="I37" s="100"/>
      <c r="J37" s="100"/>
      <c r="K37" s="100"/>
      <c r="L37" s="100"/>
      <c r="M37" s="100"/>
      <c r="N37" s="104"/>
      <c r="O37" s="104"/>
      <c r="P37" s="104"/>
      <c r="Q37" s="100">
        <f t="shared" si="3"/>
        <v>0</v>
      </c>
    </row>
    <row r="38" ht="15.0" customHeight="1">
      <c r="A38" s="95">
        <v>3.0</v>
      </c>
      <c r="B38" s="135" t="s">
        <v>522</v>
      </c>
      <c r="C38" s="134" t="s">
        <v>523</v>
      </c>
      <c r="D38" s="134" t="s">
        <v>524</v>
      </c>
      <c r="E38" s="95"/>
      <c r="F38" s="101"/>
      <c r="G38" s="100"/>
      <c r="H38" s="100"/>
      <c r="I38" s="100"/>
      <c r="J38" s="100"/>
      <c r="K38" s="100"/>
      <c r="L38" s="100"/>
      <c r="M38" s="100"/>
      <c r="N38" s="104"/>
      <c r="O38" s="104"/>
      <c r="P38" s="104"/>
      <c r="Q38" s="100">
        <f t="shared" si="3"/>
        <v>0</v>
      </c>
    </row>
    <row r="39" ht="15.0" customHeight="1">
      <c r="A39" s="95">
        <v>4.0</v>
      </c>
      <c r="B39" s="135" t="s">
        <v>525</v>
      </c>
      <c r="C39" s="134" t="s">
        <v>526</v>
      </c>
      <c r="D39" s="134" t="s">
        <v>527</v>
      </c>
      <c r="E39" s="95"/>
      <c r="F39" s="101"/>
      <c r="G39" s="100"/>
      <c r="H39" s="100"/>
      <c r="I39" s="100"/>
      <c r="J39" s="100"/>
      <c r="K39" s="100"/>
      <c r="L39" s="100"/>
      <c r="M39" s="100"/>
      <c r="N39" s="104"/>
      <c r="O39" s="104"/>
      <c r="P39" s="104"/>
      <c r="Q39" s="100">
        <f t="shared" si="3"/>
        <v>0</v>
      </c>
    </row>
    <row r="40" ht="15.0" customHeight="1">
      <c r="A40" s="95">
        <v>5.0</v>
      </c>
      <c r="B40" s="135" t="s">
        <v>528</v>
      </c>
      <c r="C40" s="134" t="s">
        <v>529</v>
      </c>
      <c r="D40" s="134" t="s">
        <v>530</v>
      </c>
      <c r="E40" s="95"/>
      <c r="F40" s="101"/>
      <c r="G40" s="100"/>
      <c r="H40" s="100"/>
      <c r="I40" s="100"/>
      <c r="J40" s="100"/>
      <c r="K40" s="100"/>
      <c r="L40" s="100"/>
      <c r="M40" s="100"/>
      <c r="N40" s="104"/>
      <c r="O40" s="104"/>
      <c r="P40" s="104"/>
      <c r="Q40" s="100">
        <f t="shared" si="3"/>
        <v>0</v>
      </c>
    </row>
    <row r="41" ht="15.0" customHeight="1">
      <c r="A41" s="95">
        <v>6.0</v>
      </c>
      <c r="B41" s="135" t="s">
        <v>531</v>
      </c>
      <c r="C41" s="134" t="s">
        <v>532</v>
      </c>
      <c r="D41" s="134" t="s">
        <v>533</v>
      </c>
      <c r="E41" s="95"/>
      <c r="F41" s="101"/>
      <c r="G41" s="100"/>
      <c r="H41" s="100"/>
      <c r="I41" s="100"/>
      <c r="J41" s="100"/>
      <c r="K41" s="100"/>
      <c r="L41" s="100"/>
      <c r="M41" s="100"/>
      <c r="N41" s="104"/>
      <c r="O41" s="104"/>
      <c r="P41" s="104"/>
      <c r="Q41" s="100">
        <f t="shared" si="3"/>
        <v>0</v>
      </c>
    </row>
    <row r="42" ht="15.0" customHeight="1">
      <c r="A42" s="95">
        <v>7.0</v>
      </c>
      <c r="B42" s="135" t="s">
        <v>534</v>
      </c>
      <c r="C42" s="134" t="s">
        <v>535</v>
      </c>
      <c r="D42" s="134" t="s">
        <v>536</v>
      </c>
      <c r="E42" s="95"/>
      <c r="F42" s="101"/>
      <c r="G42" s="100"/>
      <c r="H42" s="100"/>
      <c r="I42" s="100"/>
      <c r="J42" s="100"/>
      <c r="K42" s="100"/>
      <c r="L42" s="100"/>
      <c r="M42" s="100"/>
      <c r="N42" s="104"/>
      <c r="O42" s="104"/>
      <c r="P42" s="104"/>
      <c r="Q42" s="100">
        <f t="shared" si="3"/>
        <v>0</v>
      </c>
    </row>
    <row r="43" ht="15.0" customHeight="1">
      <c r="A43" s="95">
        <v>8.0</v>
      </c>
      <c r="B43" s="135" t="s">
        <v>537</v>
      </c>
      <c r="C43" s="134" t="s">
        <v>538</v>
      </c>
      <c r="D43" s="134" t="s">
        <v>539</v>
      </c>
      <c r="E43" s="95"/>
      <c r="F43" s="101"/>
      <c r="G43" s="100"/>
      <c r="H43" s="100"/>
      <c r="I43" s="100"/>
      <c r="J43" s="100"/>
      <c r="K43" s="100"/>
      <c r="L43" s="100"/>
      <c r="M43" s="100"/>
      <c r="N43" s="104"/>
      <c r="O43" s="104"/>
      <c r="P43" s="104"/>
      <c r="Q43" s="100">
        <f t="shared" si="3"/>
        <v>0</v>
      </c>
    </row>
    <row r="44" ht="15.0" customHeight="1">
      <c r="A44" s="95">
        <v>9.0</v>
      </c>
      <c r="B44" s="135" t="s">
        <v>540</v>
      </c>
      <c r="C44" s="134" t="s">
        <v>541</v>
      </c>
      <c r="D44" s="134" t="s">
        <v>542</v>
      </c>
      <c r="E44" s="95"/>
      <c r="F44" s="101"/>
      <c r="G44" s="100"/>
      <c r="H44" s="100"/>
      <c r="I44" s="100"/>
      <c r="J44" s="100"/>
      <c r="K44" s="100"/>
      <c r="L44" s="100"/>
      <c r="M44" s="100"/>
      <c r="N44" s="104"/>
      <c r="O44" s="104"/>
      <c r="P44" s="104"/>
      <c r="Q44" s="100">
        <f t="shared" si="3"/>
        <v>0</v>
      </c>
    </row>
    <row r="45" ht="15.0" customHeight="1">
      <c r="A45" s="95">
        <v>10.0</v>
      </c>
      <c r="B45" s="135" t="s">
        <v>543</v>
      </c>
      <c r="C45" s="134" t="s">
        <v>544</v>
      </c>
      <c r="D45" s="134" t="s">
        <v>545</v>
      </c>
      <c r="E45" s="95"/>
      <c r="F45" s="93"/>
      <c r="G45" s="100"/>
      <c r="H45" s="100"/>
      <c r="I45" s="100"/>
      <c r="J45" s="100"/>
      <c r="K45" s="100"/>
      <c r="L45" s="100"/>
      <c r="M45" s="100"/>
      <c r="N45" s="104"/>
      <c r="O45" s="104"/>
      <c r="P45" s="104"/>
      <c r="Q45" s="100">
        <f t="shared" si="3"/>
        <v>0</v>
      </c>
    </row>
    <row r="46" ht="15.0" customHeight="1">
      <c r="A46" s="102"/>
      <c r="B46" s="102"/>
      <c r="C46" s="102"/>
      <c r="D46" s="102"/>
      <c r="E46" s="102"/>
      <c r="F46" s="102"/>
      <c r="G46" s="103"/>
      <c r="H46" s="103"/>
      <c r="I46" s="103"/>
      <c r="J46" s="103"/>
      <c r="K46" s="103"/>
      <c r="L46" s="103"/>
      <c r="M46" s="103"/>
      <c r="N46" s="105"/>
      <c r="O46" s="105"/>
      <c r="P46" s="105"/>
      <c r="Q46" s="103"/>
    </row>
    <row r="47" ht="15.0" customHeight="1">
      <c r="A47" s="95">
        <v>1.0</v>
      </c>
      <c r="B47" s="135" t="s">
        <v>546</v>
      </c>
      <c r="C47" s="134" t="s">
        <v>547</v>
      </c>
      <c r="D47" s="134" t="s">
        <v>548</v>
      </c>
      <c r="E47" s="95"/>
      <c r="F47" s="148" t="s">
        <v>627</v>
      </c>
      <c r="G47" s="100"/>
      <c r="H47" s="100"/>
      <c r="I47" s="100"/>
      <c r="J47" s="100"/>
      <c r="K47" s="100"/>
      <c r="L47" s="100"/>
      <c r="M47" s="100"/>
      <c r="N47" s="104"/>
      <c r="O47" s="104"/>
      <c r="P47" s="104"/>
      <c r="Q47" s="100">
        <f t="shared" ref="Q47:Q56" si="4">COUNTA(G47:P47)</f>
        <v>0</v>
      </c>
    </row>
    <row r="48" ht="15.0" customHeight="1">
      <c r="A48" s="95">
        <v>2.0</v>
      </c>
      <c r="B48" s="135" t="s">
        <v>549</v>
      </c>
      <c r="C48" s="134" t="s">
        <v>550</v>
      </c>
      <c r="D48" s="134" t="s">
        <v>551</v>
      </c>
      <c r="E48" s="95"/>
      <c r="F48" s="101"/>
      <c r="G48" s="100"/>
      <c r="H48" s="100"/>
      <c r="I48" s="100"/>
      <c r="J48" s="100"/>
      <c r="K48" s="100"/>
      <c r="L48" s="100"/>
      <c r="M48" s="100"/>
      <c r="N48" s="104"/>
      <c r="O48" s="104"/>
      <c r="P48" s="104"/>
      <c r="Q48" s="100">
        <f t="shared" si="4"/>
        <v>0</v>
      </c>
    </row>
    <row r="49" ht="15.0" customHeight="1">
      <c r="A49" s="95">
        <v>3.0</v>
      </c>
      <c r="B49" s="135" t="s">
        <v>552</v>
      </c>
      <c r="C49" s="134" t="s">
        <v>553</v>
      </c>
      <c r="D49" s="134" t="s">
        <v>554</v>
      </c>
      <c r="E49" s="95"/>
      <c r="F49" s="101"/>
      <c r="G49" s="100"/>
      <c r="H49" s="100"/>
      <c r="I49" s="100"/>
      <c r="J49" s="100"/>
      <c r="K49" s="100"/>
      <c r="L49" s="100"/>
      <c r="M49" s="100"/>
      <c r="N49" s="104"/>
      <c r="O49" s="104"/>
      <c r="P49" s="104"/>
      <c r="Q49" s="100">
        <f t="shared" si="4"/>
        <v>0</v>
      </c>
    </row>
    <row r="50" ht="15.0" customHeight="1">
      <c r="A50" s="95">
        <v>4.0</v>
      </c>
      <c r="B50" s="135" t="s">
        <v>555</v>
      </c>
      <c r="C50" s="134" t="s">
        <v>556</v>
      </c>
      <c r="D50" s="134" t="s">
        <v>557</v>
      </c>
      <c r="E50" s="95"/>
      <c r="F50" s="101"/>
      <c r="G50" s="100"/>
      <c r="H50" s="100"/>
      <c r="I50" s="100"/>
      <c r="J50" s="100"/>
      <c r="K50" s="100"/>
      <c r="L50" s="100"/>
      <c r="M50" s="100"/>
      <c r="N50" s="104"/>
      <c r="O50" s="104"/>
      <c r="P50" s="104"/>
      <c r="Q50" s="100">
        <f t="shared" si="4"/>
        <v>0</v>
      </c>
    </row>
    <row r="51" ht="15.0" customHeight="1">
      <c r="A51" s="95">
        <v>5.0</v>
      </c>
      <c r="B51" s="135" t="s">
        <v>558</v>
      </c>
      <c r="C51" s="134" t="s">
        <v>559</v>
      </c>
      <c r="D51" s="134" t="s">
        <v>560</v>
      </c>
      <c r="E51" s="95"/>
      <c r="F51" s="101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>
        <f t="shared" si="4"/>
        <v>0</v>
      </c>
    </row>
    <row r="52" ht="15.0" customHeight="1">
      <c r="A52" s="95">
        <v>6.0</v>
      </c>
      <c r="B52" s="135" t="s">
        <v>561</v>
      </c>
      <c r="C52" s="134" t="s">
        <v>562</v>
      </c>
      <c r="D52" s="134" t="s">
        <v>563</v>
      </c>
      <c r="E52" s="95"/>
      <c r="F52" s="101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>
        <f t="shared" si="4"/>
        <v>0</v>
      </c>
    </row>
    <row r="53" ht="15.0" customHeight="1">
      <c r="A53" s="95">
        <v>7.0</v>
      </c>
      <c r="B53" s="135" t="s">
        <v>564</v>
      </c>
      <c r="C53" s="134" t="s">
        <v>565</v>
      </c>
      <c r="D53" s="134" t="s">
        <v>566</v>
      </c>
      <c r="E53" s="95"/>
      <c r="F53" s="101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>
        <f t="shared" si="4"/>
        <v>0</v>
      </c>
    </row>
    <row r="54" ht="15.0" customHeight="1">
      <c r="A54" s="95">
        <v>8.0</v>
      </c>
      <c r="B54" s="135" t="s">
        <v>567</v>
      </c>
      <c r="C54" s="134" t="s">
        <v>568</v>
      </c>
      <c r="D54" s="134" t="s">
        <v>569</v>
      </c>
      <c r="E54" s="95"/>
      <c r="F54" s="101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>
        <f t="shared" si="4"/>
        <v>0</v>
      </c>
    </row>
    <row r="55" ht="15.0" customHeight="1">
      <c r="A55" s="95">
        <v>9.0</v>
      </c>
      <c r="B55" s="135" t="s">
        <v>570</v>
      </c>
      <c r="C55" s="134" t="s">
        <v>571</v>
      </c>
      <c r="D55" s="134" t="s">
        <v>572</v>
      </c>
      <c r="E55" s="95"/>
      <c r="F55" s="101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>
        <f t="shared" si="4"/>
        <v>0</v>
      </c>
    </row>
    <row r="56" ht="15.0" customHeight="1">
      <c r="A56" s="95">
        <v>10.0</v>
      </c>
      <c r="B56" s="135" t="s">
        <v>573</v>
      </c>
      <c r="C56" s="134" t="s">
        <v>574</v>
      </c>
      <c r="D56" s="134" t="s">
        <v>575</v>
      </c>
      <c r="E56" s="95"/>
      <c r="F56" s="93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>
        <f t="shared" si="4"/>
        <v>0</v>
      </c>
    </row>
    <row r="57" ht="15.0" customHeight="1">
      <c r="A57" s="102"/>
      <c r="B57" s="102"/>
      <c r="C57" s="102"/>
      <c r="D57" s="102"/>
      <c r="E57" s="102"/>
      <c r="F57" s="102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</row>
    <row r="58" ht="15.0" customHeight="1">
      <c r="A58" s="95">
        <v>1.0</v>
      </c>
      <c r="B58" s="135" t="s">
        <v>576</v>
      </c>
      <c r="C58" s="134" t="s">
        <v>577</v>
      </c>
      <c r="D58" s="134" t="s">
        <v>578</v>
      </c>
      <c r="E58" s="95"/>
      <c r="F58" s="148" t="s">
        <v>628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>
        <f t="shared" ref="Q58:Q67" si="5">COUNTA(G58:P58)</f>
        <v>0</v>
      </c>
    </row>
    <row r="59" ht="15.0" customHeight="1">
      <c r="A59" s="95">
        <v>2.0</v>
      </c>
      <c r="B59" s="135" t="s">
        <v>579</v>
      </c>
      <c r="C59" s="134" t="s">
        <v>580</v>
      </c>
      <c r="D59" s="134" t="s">
        <v>581</v>
      </c>
      <c r="E59" s="95"/>
      <c r="F59" s="101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>
        <f t="shared" si="5"/>
        <v>0</v>
      </c>
    </row>
    <row r="60" ht="15.0" customHeight="1">
      <c r="A60" s="95">
        <v>3.0</v>
      </c>
      <c r="B60" s="135" t="s">
        <v>582</v>
      </c>
      <c r="C60" s="134" t="s">
        <v>583</v>
      </c>
      <c r="D60" s="134" t="s">
        <v>584</v>
      </c>
      <c r="E60" s="95"/>
      <c r="F60" s="101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>
        <f t="shared" si="5"/>
        <v>0</v>
      </c>
    </row>
    <row r="61" ht="15.0" customHeight="1">
      <c r="A61" s="95">
        <v>4.0</v>
      </c>
      <c r="B61" s="135" t="s">
        <v>585</v>
      </c>
      <c r="C61" s="134" t="s">
        <v>586</v>
      </c>
      <c r="D61" s="134" t="s">
        <v>587</v>
      </c>
      <c r="E61" s="95"/>
      <c r="F61" s="101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>
        <f t="shared" si="5"/>
        <v>0</v>
      </c>
    </row>
    <row r="62" ht="15.0" customHeight="1">
      <c r="A62" s="95">
        <v>5.0</v>
      </c>
      <c r="B62" s="135" t="s">
        <v>588</v>
      </c>
      <c r="C62" s="134" t="s">
        <v>589</v>
      </c>
      <c r="D62" s="134" t="s">
        <v>590</v>
      </c>
      <c r="E62" s="95"/>
      <c r="F62" s="101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>
        <f t="shared" si="5"/>
        <v>0</v>
      </c>
    </row>
    <row r="63" ht="15.0" customHeight="1">
      <c r="A63" s="95">
        <v>6.0</v>
      </c>
      <c r="B63" s="135" t="s">
        <v>591</v>
      </c>
      <c r="C63" s="134" t="s">
        <v>592</v>
      </c>
      <c r="D63" s="134" t="s">
        <v>593</v>
      </c>
      <c r="E63" s="95"/>
      <c r="F63" s="101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>
        <f t="shared" si="5"/>
        <v>0</v>
      </c>
    </row>
    <row r="64" ht="15.0" customHeight="1">
      <c r="A64" s="95">
        <v>7.0</v>
      </c>
      <c r="B64" s="135" t="s">
        <v>594</v>
      </c>
      <c r="C64" s="134" t="s">
        <v>595</v>
      </c>
      <c r="D64" s="134" t="s">
        <v>596</v>
      </c>
      <c r="E64" s="95"/>
      <c r="F64" s="101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>
        <f t="shared" si="5"/>
        <v>0</v>
      </c>
    </row>
    <row r="65" ht="15.0" customHeight="1">
      <c r="A65" s="95">
        <v>8.0</v>
      </c>
      <c r="B65" s="135" t="s">
        <v>597</v>
      </c>
      <c r="C65" s="134" t="s">
        <v>598</v>
      </c>
      <c r="D65" s="134" t="s">
        <v>599</v>
      </c>
      <c r="E65" s="95"/>
      <c r="F65" s="101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>
        <f t="shared" si="5"/>
        <v>0</v>
      </c>
    </row>
    <row r="66" ht="15.0" customHeight="1">
      <c r="A66" s="95">
        <v>9.0</v>
      </c>
      <c r="B66" s="135" t="s">
        <v>600</v>
      </c>
      <c r="C66" s="134" t="s">
        <v>601</v>
      </c>
      <c r="D66" s="134" t="s">
        <v>602</v>
      </c>
      <c r="E66" s="95"/>
      <c r="F66" s="101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>
        <f t="shared" si="5"/>
        <v>0</v>
      </c>
    </row>
    <row r="67" ht="15.0" customHeight="1">
      <c r="A67" s="95">
        <v>10.0</v>
      </c>
      <c r="B67" s="135" t="s">
        <v>603</v>
      </c>
      <c r="C67" s="134" t="s">
        <v>604</v>
      </c>
      <c r="D67" s="134" t="s">
        <v>605</v>
      </c>
      <c r="E67" s="95"/>
      <c r="F67" s="93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>
        <f t="shared" si="5"/>
        <v>0</v>
      </c>
    </row>
    <row r="68" ht="15.0" customHeight="1">
      <c r="A68" s="102"/>
      <c r="B68" s="102"/>
      <c r="C68" s="102"/>
      <c r="D68" s="102"/>
      <c r="E68" s="102"/>
      <c r="F68" s="102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</row>
    <row r="69" ht="15.0" customHeight="1">
      <c r="A69" s="95">
        <v>1.0</v>
      </c>
      <c r="B69" s="135" t="s">
        <v>606</v>
      </c>
      <c r="C69" s="134" t="s">
        <v>607</v>
      </c>
      <c r="D69" s="134" t="s">
        <v>608</v>
      </c>
      <c r="E69" s="95"/>
      <c r="F69" s="148" t="s">
        <v>629</v>
      </c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>
        <f t="shared" ref="Q69:Q78" si="6">COUNTA(G69:P69)</f>
        <v>0</v>
      </c>
    </row>
    <row r="70" ht="15.0" customHeight="1">
      <c r="A70" s="95">
        <v>2.0</v>
      </c>
      <c r="B70" s="135" t="s">
        <v>609</v>
      </c>
      <c r="C70" s="134" t="s">
        <v>610</v>
      </c>
      <c r="D70" s="134" t="s">
        <v>611</v>
      </c>
      <c r="E70" s="95"/>
      <c r="F70" s="101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>
        <f t="shared" si="6"/>
        <v>0</v>
      </c>
    </row>
    <row r="71" ht="15.0" customHeight="1">
      <c r="A71" s="95">
        <v>3.0</v>
      </c>
      <c r="B71" s="135" t="s">
        <v>612</v>
      </c>
      <c r="C71" s="134" t="s">
        <v>613</v>
      </c>
      <c r="D71" s="134" t="s">
        <v>614</v>
      </c>
      <c r="E71" s="95"/>
      <c r="F71" s="101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>
        <f t="shared" si="6"/>
        <v>0</v>
      </c>
    </row>
    <row r="72" ht="15.0" customHeight="1">
      <c r="A72" s="95">
        <v>4.0</v>
      </c>
      <c r="B72" s="135" t="s">
        <v>615</v>
      </c>
      <c r="C72" s="134" t="s">
        <v>616</v>
      </c>
      <c r="D72" s="134" t="s">
        <v>617</v>
      </c>
      <c r="E72" s="95"/>
      <c r="F72" s="101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>
        <f t="shared" si="6"/>
        <v>0</v>
      </c>
    </row>
    <row r="73" ht="15.0" customHeight="1">
      <c r="A73" s="95">
        <v>5.0</v>
      </c>
      <c r="B73" s="135" t="s">
        <v>618</v>
      </c>
      <c r="C73" s="134" t="s">
        <v>619</v>
      </c>
      <c r="D73" s="134" t="s">
        <v>620</v>
      </c>
      <c r="E73" s="95"/>
      <c r="F73" s="101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>
        <f t="shared" si="6"/>
        <v>0</v>
      </c>
    </row>
    <row r="74" ht="15.0" customHeight="1">
      <c r="A74" s="95">
        <v>6.0</v>
      </c>
      <c r="B74" s="95"/>
      <c r="C74" s="95"/>
      <c r="D74" s="95"/>
      <c r="E74" s="95"/>
      <c r="F74" s="101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>
        <f t="shared" si="6"/>
        <v>0</v>
      </c>
    </row>
    <row r="75" ht="15.0" customHeight="1">
      <c r="A75" s="95">
        <v>7.0</v>
      </c>
      <c r="B75" s="95"/>
      <c r="C75" s="95"/>
      <c r="D75" s="95"/>
      <c r="E75" s="95"/>
      <c r="F75" s="101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>
        <f t="shared" si="6"/>
        <v>0</v>
      </c>
    </row>
    <row r="76" ht="15.0" customHeight="1">
      <c r="A76" s="95">
        <v>8.0</v>
      </c>
      <c r="B76" s="95"/>
      <c r="C76" s="95"/>
      <c r="D76" s="95"/>
      <c r="E76" s="95"/>
      <c r="F76" s="101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>
        <f t="shared" si="6"/>
        <v>0</v>
      </c>
    </row>
    <row r="77" ht="15.0" customHeight="1">
      <c r="A77" s="95">
        <v>9.0</v>
      </c>
      <c r="B77" s="95"/>
      <c r="C77" s="95"/>
      <c r="D77" s="95"/>
      <c r="E77" s="95"/>
      <c r="F77" s="101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>
        <f t="shared" si="6"/>
        <v>0</v>
      </c>
    </row>
    <row r="78" ht="15.0" customHeight="1">
      <c r="A78" s="95">
        <v>10.0</v>
      </c>
      <c r="B78" s="95"/>
      <c r="C78" s="95"/>
      <c r="D78" s="95"/>
      <c r="E78" s="95"/>
      <c r="F78" s="93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>
        <f t="shared" si="6"/>
        <v>0</v>
      </c>
    </row>
    <row r="79" ht="15.0" customHeight="1">
      <c r="A79" s="102"/>
      <c r="B79" s="102"/>
      <c r="C79" s="102"/>
      <c r="D79" s="102"/>
      <c r="E79" s="102"/>
      <c r="F79" s="102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</row>
    <row r="80" ht="15.0" customHeight="1">
      <c r="A80" s="95">
        <v>1.0</v>
      </c>
      <c r="B80" s="95"/>
      <c r="C80" s="95"/>
      <c r="D80" s="95"/>
      <c r="E80" s="95"/>
      <c r="F80" s="148" t="s">
        <v>630</v>
      </c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>
        <f t="shared" ref="Q80:Q89" si="7">COUNTA(G80:P80)</f>
        <v>0</v>
      </c>
    </row>
    <row r="81" ht="15.0" customHeight="1">
      <c r="A81" s="95">
        <v>2.0</v>
      </c>
      <c r="B81" s="95"/>
      <c r="C81" s="95"/>
      <c r="D81" s="95"/>
      <c r="E81" s="95"/>
      <c r="F81" s="101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>
        <f t="shared" si="7"/>
        <v>0</v>
      </c>
    </row>
    <row r="82" ht="15.0" customHeight="1">
      <c r="A82" s="95">
        <v>3.0</v>
      </c>
      <c r="B82" s="95"/>
      <c r="C82" s="95"/>
      <c r="D82" s="95"/>
      <c r="E82" s="95"/>
      <c r="F82" s="101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>
        <f t="shared" si="7"/>
        <v>0</v>
      </c>
    </row>
    <row r="83" ht="15.0" customHeight="1">
      <c r="A83" s="95">
        <v>4.0</v>
      </c>
      <c r="B83" s="95"/>
      <c r="C83" s="95"/>
      <c r="D83" s="95"/>
      <c r="E83" s="95"/>
      <c r="F83" s="101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>
        <f t="shared" si="7"/>
        <v>0</v>
      </c>
    </row>
    <row r="84" ht="15.0" customHeight="1">
      <c r="A84" s="95">
        <v>5.0</v>
      </c>
      <c r="B84" s="95"/>
      <c r="C84" s="95"/>
      <c r="D84" s="95"/>
      <c r="E84" s="95"/>
      <c r="F84" s="101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>
        <f t="shared" si="7"/>
        <v>0</v>
      </c>
    </row>
    <row r="85" ht="15.0" customHeight="1">
      <c r="A85" s="95">
        <v>6.0</v>
      </c>
      <c r="B85" s="95"/>
      <c r="C85" s="95"/>
      <c r="D85" s="95"/>
      <c r="E85" s="95"/>
      <c r="F85" s="101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>
        <f t="shared" si="7"/>
        <v>0</v>
      </c>
    </row>
    <row r="86" ht="15.0" customHeight="1">
      <c r="A86" s="95">
        <v>7.0</v>
      </c>
      <c r="B86" s="95"/>
      <c r="C86" s="95"/>
      <c r="D86" s="95"/>
      <c r="E86" s="95"/>
      <c r="F86" s="101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>
        <f t="shared" si="7"/>
        <v>0</v>
      </c>
    </row>
    <row r="87" ht="15.0" customHeight="1">
      <c r="A87" s="95">
        <v>8.0</v>
      </c>
      <c r="B87" s="95"/>
      <c r="C87" s="95"/>
      <c r="D87" s="95"/>
      <c r="E87" s="95"/>
      <c r="F87" s="101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>
        <f t="shared" si="7"/>
        <v>0</v>
      </c>
    </row>
    <row r="88" ht="15.0" customHeight="1">
      <c r="A88" s="95">
        <v>9.0</v>
      </c>
      <c r="B88" s="95"/>
      <c r="C88" s="95"/>
      <c r="D88" s="95"/>
      <c r="E88" s="95"/>
      <c r="F88" s="101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>
        <f t="shared" si="7"/>
        <v>0</v>
      </c>
    </row>
    <row r="89" ht="15.0" customHeight="1">
      <c r="A89" s="95">
        <v>10.0</v>
      </c>
      <c r="B89" s="95"/>
      <c r="C89" s="95"/>
      <c r="D89" s="95"/>
      <c r="E89" s="95"/>
      <c r="F89" s="93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>
        <f t="shared" si="7"/>
        <v>0</v>
      </c>
    </row>
    <row r="90" ht="15.0" customHeight="1">
      <c r="A90" s="102"/>
      <c r="B90" s="102"/>
      <c r="C90" s="102"/>
      <c r="D90" s="102"/>
      <c r="E90" s="102"/>
      <c r="F90" s="102"/>
      <c r="G90" s="103">
        <f t="shared" ref="G90:P90" si="8">COUNTA(G3:G89)</f>
        <v>0</v>
      </c>
      <c r="H90" s="103">
        <f t="shared" si="8"/>
        <v>0</v>
      </c>
      <c r="I90" s="103">
        <f t="shared" si="8"/>
        <v>0</v>
      </c>
      <c r="J90" s="103">
        <f t="shared" si="8"/>
        <v>0</v>
      </c>
      <c r="K90" s="103">
        <f t="shared" si="8"/>
        <v>0</v>
      </c>
      <c r="L90" s="103">
        <f t="shared" si="8"/>
        <v>0</v>
      </c>
      <c r="M90" s="103">
        <f t="shared" si="8"/>
        <v>0</v>
      </c>
      <c r="N90" s="103">
        <f t="shared" si="8"/>
        <v>0</v>
      </c>
      <c r="O90" s="103">
        <f t="shared" si="8"/>
        <v>0</v>
      </c>
      <c r="P90" s="103">
        <f t="shared" si="8"/>
        <v>0</v>
      </c>
      <c r="Q90" s="103"/>
    </row>
    <row r="91" ht="15.0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</row>
    <row r="92" ht="15.0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</row>
    <row r="93" ht="15.0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</row>
    <row r="94" ht="15.0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</row>
    <row r="95" ht="15.0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</row>
    <row r="96" ht="15.0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</row>
    <row r="97" ht="15.0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</row>
    <row r="98" ht="15.0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</row>
    <row r="99" ht="15.0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</row>
    <row r="100" ht="15.0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</row>
    <row r="101" ht="15.0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</row>
    <row r="102" ht="15.0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</row>
    <row r="103" ht="15.0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</row>
    <row r="104" ht="15.0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</row>
    <row r="105" ht="15.0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</row>
    <row r="106" ht="15.0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</row>
    <row r="107" ht="15.0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</row>
    <row r="108" ht="15.0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</row>
    <row r="109" ht="15.0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</row>
    <row r="110" ht="15.0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</row>
    <row r="111" ht="15.0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</row>
    <row r="112" ht="15.0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</row>
    <row r="113" ht="15.0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</row>
    <row r="114" ht="15.0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</row>
    <row r="115" ht="15.0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</row>
    <row r="116" ht="15.0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</row>
    <row r="117" ht="15.0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</row>
    <row r="118" ht="15.0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</row>
    <row r="119" ht="15.0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</row>
    <row r="120" ht="15.0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</row>
    <row r="121" ht="15.0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</row>
    <row r="122" ht="15.0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</row>
    <row r="123" ht="15.0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</row>
    <row r="124" ht="15.0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</row>
    <row r="125" ht="15.0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</row>
    <row r="126" ht="15.0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</row>
    <row r="127" ht="15.0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</row>
    <row r="128" ht="15.0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</row>
    <row r="129" ht="15.0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</row>
    <row r="130" ht="15.0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</row>
    <row r="131" ht="15.0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</row>
    <row r="132" ht="15.0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</row>
    <row r="133" ht="15.0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</row>
    <row r="134" ht="15.0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</row>
    <row r="135" ht="15.0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</row>
    <row r="136" ht="15.0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</row>
    <row r="137" ht="15.0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</row>
    <row r="138" ht="15.0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</row>
    <row r="139" ht="15.0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</row>
    <row r="140" ht="15.0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</row>
    <row r="141" ht="15.0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</row>
    <row r="142" ht="15.0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</row>
    <row r="143" ht="15.0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</row>
    <row r="144" ht="15.0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</row>
    <row r="145" ht="15.0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</row>
    <row r="146" ht="15.0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</row>
    <row r="147" ht="15.0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</row>
    <row r="148" ht="15.0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</row>
    <row r="149" ht="15.0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</row>
    <row r="150" ht="15.0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</row>
    <row r="151" ht="15.0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</row>
    <row r="152" ht="15.0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</row>
    <row r="153" ht="15.0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</row>
    <row r="154" ht="15.0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</row>
    <row r="155" ht="15.0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</row>
    <row r="156" ht="15.0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</row>
    <row r="157" ht="15.0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</row>
    <row r="158" ht="15.0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</row>
    <row r="159" ht="15.0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</row>
    <row r="160" ht="15.0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</row>
    <row r="161" ht="15.0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</row>
    <row r="162" ht="15.0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</row>
    <row r="163" ht="15.0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</row>
    <row r="164" ht="15.0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</row>
    <row r="165" ht="15.0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</row>
    <row r="166" ht="15.0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</row>
    <row r="167" ht="15.0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</row>
    <row r="168" ht="15.0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</row>
    <row r="169" ht="15.0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</row>
    <row r="170" ht="15.0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</row>
    <row r="171" ht="15.0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</row>
    <row r="172" ht="15.0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</row>
    <row r="173" ht="15.0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</row>
    <row r="174" ht="15.0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</row>
    <row r="175" ht="15.0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</row>
    <row r="176" ht="15.0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</row>
    <row r="177" ht="15.0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</row>
    <row r="178" ht="15.0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</row>
    <row r="179" ht="15.0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</row>
    <row r="180" ht="15.0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</row>
    <row r="181" ht="15.0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</row>
    <row r="182" ht="15.0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</row>
    <row r="183" ht="15.0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</row>
    <row r="184" ht="15.0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</row>
    <row r="185" ht="15.0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</row>
    <row r="186" ht="15.0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</row>
    <row r="187" ht="15.0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</row>
    <row r="188" ht="15.0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</row>
    <row r="189" ht="15.0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</row>
    <row r="190" ht="15.0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</row>
    <row r="191" ht="15.0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</row>
    <row r="192" ht="15.0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</row>
    <row r="193" ht="15.0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</row>
    <row r="194" ht="15.0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</row>
    <row r="195" ht="15.0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</row>
    <row r="196" ht="15.0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</row>
    <row r="197" ht="15.0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</row>
    <row r="198" ht="15.0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</row>
    <row r="199" ht="15.0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</row>
    <row r="200" ht="15.0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</row>
    <row r="201" ht="15.0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</row>
    <row r="202" ht="15.0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</row>
    <row r="203" ht="15.0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</row>
    <row r="204" ht="15.0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</row>
    <row r="205" ht="15.0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</row>
    <row r="206" ht="15.0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</row>
    <row r="207" ht="15.0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</row>
    <row r="208" ht="15.0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</row>
    <row r="209" ht="15.0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</row>
    <row r="210" ht="15.0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</row>
    <row r="211" ht="15.0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</row>
    <row r="212" ht="15.0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</row>
    <row r="213" ht="15.0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</row>
    <row r="214" ht="15.0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</row>
    <row r="215" ht="15.0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</row>
    <row r="216" ht="15.0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</row>
    <row r="217" ht="15.0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</row>
    <row r="218" ht="15.0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</row>
    <row r="219" ht="15.0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</row>
    <row r="220" ht="15.0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</row>
    <row r="221" ht="15.0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</row>
    <row r="222" ht="15.0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</row>
    <row r="223" ht="15.0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</row>
    <row r="224" ht="15.0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</row>
    <row r="225" ht="15.0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</row>
    <row r="226" ht="15.0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</row>
    <row r="227" ht="15.0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</row>
    <row r="228" ht="15.0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</row>
    <row r="229" ht="15.0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</row>
    <row r="230" ht="15.0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</row>
    <row r="231" ht="15.0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</row>
    <row r="232" ht="15.0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</row>
    <row r="233" ht="15.0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</row>
    <row r="234" ht="15.0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</row>
    <row r="235" ht="15.0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</row>
    <row r="236" ht="15.0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</row>
    <row r="237" ht="15.0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</row>
    <row r="238" ht="15.0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</row>
    <row r="239" ht="15.0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</row>
    <row r="240" ht="15.0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</row>
    <row r="241" ht="15.0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</row>
    <row r="242" ht="15.0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</row>
    <row r="243" ht="15.0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</row>
    <row r="244" ht="15.0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</row>
    <row r="245" ht="15.0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</row>
    <row r="246" ht="15.0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</row>
    <row r="247" ht="15.0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</row>
    <row r="248" ht="15.0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</row>
    <row r="249" ht="15.0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</row>
    <row r="250" ht="15.0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</row>
    <row r="251" ht="15.0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</row>
    <row r="252" ht="15.0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</row>
    <row r="253" ht="15.0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</row>
    <row r="254" ht="15.0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</row>
    <row r="255" ht="15.0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</row>
    <row r="256" ht="15.0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</row>
    <row r="257" ht="15.0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</row>
    <row r="258" ht="15.0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</row>
    <row r="259" ht="15.0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</row>
    <row r="260" ht="15.0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</row>
    <row r="261" ht="15.0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</row>
    <row r="262" ht="15.0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</row>
    <row r="263" ht="15.0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</row>
    <row r="264" ht="15.0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</row>
    <row r="265" ht="15.0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</row>
    <row r="266" ht="15.0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</row>
    <row r="267" ht="15.0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</row>
    <row r="268" ht="15.0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</row>
    <row r="269" ht="15.0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</row>
    <row r="270" ht="15.0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</row>
    <row r="271" ht="15.0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</row>
    <row r="272" ht="15.0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</row>
    <row r="273" ht="15.0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</row>
    <row r="274" ht="15.0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</row>
    <row r="275" ht="15.0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</row>
    <row r="276" ht="15.0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</row>
    <row r="277" ht="15.0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</row>
    <row r="278" ht="15.0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</row>
    <row r="279" ht="15.0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</row>
    <row r="280" ht="15.0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</row>
    <row r="281" ht="15.0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</row>
    <row r="282" ht="15.0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</row>
    <row r="283" ht="15.0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</row>
    <row r="284" ht="15.0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</row>
    <row r="285" ht="15.0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</row>
    <row r="286" ht="15.0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</row>
    <row r="287" ht="15.0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</row>
    <row r="288" ht="15.0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</row>
    <row r="289" ht="15.0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</row>
    <row r="290" ht="15.0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</row>
    <row r="291" ht="15.75" customHeight="1">
      <c r="B291" s="4"/>
      <c r="C291" s="4"/>
      <c r="D291" s="4"/>
      <c r="E291" s="4"/>
    </row>
    <row r="292" ht="15.75" customHeight="1">
      <c r="B292" s="4"/>
      <c r="C292" s="4"/>
      <c r="D292" s="4"/>
      <c r="E292" s="4"/>
    </row>
    <row r="293" ht="15.75" customHeight="1">
      <c r="B293" s="4"/>
      <c r="C293" s="4"/>
      <c r="D293" s="4"/>
      <c r="E293" s="4"/>
    </row>
    <row r="294" ht="15.75" customHeight="1">
      <c r="B294" s="4"/>
      <c r="C294" s="4"/>
      <c r="D294" s="4"/>
      <c r="E294" s="4"/>
    </row>
    <row r="295" ht="15.75" customHeight="1">
      <c r="B295" s="4"/>
      <c r="C295" s="4"/>
      <c r="D295" s="4"/>
      <c r="E295" s="4"/>
    </row>
    <row r="296" ht="15.75" customHeight="1">
      <c r="B296" s="4"/>
      <c r="C296" s="4"/>
      <c r="D296" s="4"/>
      <c r="E296" s="4"/>
    </row>
    <row r="297" ht="15.75" customHeight="1">
      <c r="B297" s="4"/>
      <c r="C297" s="4"/>
      <c r="D297" s="4"/>
      <c r="E297" s="4"/>
    </row>
    <row r="298" ht="15.75" customHeight="1">
      <c r="B298" s="4"/>
      <c r="C298" s="4"/>
      <c r="D298" s="4"/>
      <c r="E298" s="4"/>
    </row>
    <row r="299" ht="15.75" customHeight="1">
      <c r="B299" s="4"/>
      <c r="C299" s="4"/>
      <c r="D299" s="4"/>
      <c r="E299" s="4"/>
    </row>
    <row r="300" ht="15.75" customHeight="1">
      <c r="B300" s="4"/>
      <c r="C300" s="4"/>
      <c r="D300" s="4"/>
      <c r="E300" s="4"/>
    </row>
    <row r="301" ht="15.75" customHeight="1">
      <c r="B301" s="4"/>
      <c r="C301" s="4"/>
      <c r="D301" s="4"/>
      <c r="E301" s="4"/>
    </row>
    <row r="302" ht="15.75" customHeight="1">
      <c r="B302" s="4"/>
      <c r="C302" s="4"/>
      <c r="D302" s="4"/>
      <c r="E302" s="4"/>
    </row>
    <row r="303" ht="15.75" customHeight="1">
      <c r="B303" s="4"/>
      <c r="C303" s="4"/>
      <c r="D303" s="4"/>
      <c r="E303" s="4"/>
    </row>
    <row r="304" ht="15.75" customHeight="1">
      <c r="B304" s="4"/>
      <c r="C304" s="4"/>
      <c r="D304" s="4"/>
      <c r="E304" s="4"/>
    </row>
    <row r="305" ht="15.75" customHeight="1">
      <c r="B305" s="4"/>
      <c r="C305" s="4"/>
      <c r="D305" s="4"/>
      <c r="E305" s="4"/>
    </row>
    <row r="306" ht="15.75" customHeight="1">
      <c r="B306" s="4"/>
      <c r="C306" s="4"/>
      <c r="D306" s="4"/>
      <c r="E306" s="4"/>
    </row>
    <row r="307" ht="15.75" customHeight="1">
      <c r="B307" s="4"/>
      <c r="C307" s="4"/>
      <c r="D307" s="4"/>
      <c r="E307" s="4"/>
    </row>
    <row r="308" ht="15.75" customHeight="1">
      <c r="B308" s="4"/>
      <c r="C308" s="4"/>
      <c r="D308" s="4"/>
      <c r="E308" s="4"/>
    </row>
    <row r="309" ht="15.75" customHeight="1">
      <c r="B309" s="4"/>
      <c r="C309" s="4"/>
      <c r="D309" s="4"/>
      <c r="E309" s="4"/>
    </row>
    <row r="310" ht="15.75" customHeight="1">
      <c r="B310" s="4"/>
      <c r="C310" s="4"/>
      <c r="D310" s="4"/>
      <c r="E310" s="4"/>
    </row>
    <row r="311" ht="15.75" customHeight="1">
      <c r="B311" s="4"/>
      <c r="C311" s="4"/>
      <c r="D311" s="4"/>
      <c r="E311" s="4"/>
    </row>
    <row r="312" ht="15.75" customHeight="1">
      <c r="B312" s="4"/>
      <c r="C312" s="4"/>
      <c r="D312" s="4"/>
      <c r="E312" s="4"/>
    </row>
    <row r="313" ht="15.75" customHeight="1">
      <c r="B313" s="4"/>
      <c r="C313" s="4"/>
      <c r="D313" s="4"/>
      <c r="E313" s="4"/>
    </row>
    <row r="314" ht="15.75" customHeight="1">
      <c r="B314" s="4"/>
      <c r="C314" s="4"/>
      <c r="D314" s="4"/>
      <c r="E314" s="4"/>
    </row>
    <row r="315" ht="15.75" customHeight="1">
      <c r="B315" s="4"/>
      <c r="C315" s="4"/>
      <c r="D315" s="4"/>
      <c r="E315" s="4"/>
    </row>
    <row r="316" ht="15.75" customHeight="1">
      <c r="B316" s="4"/>
      <c r="C316" s="4"/>
      <c r="D316" s="4"/>
      <c r="E316" s="4"/>
    </row>
    <row r="317" ht="15.75" customHeight="1">
      <c r="B317" s="4"/>
      <c r="C317" s="4"/>
      <c r="D317" s="4"/>
      <c r="E317" s="4"/>
    </row>
    <row r="318" ht="15.75" customHeight="1">
      <c r="B318" s="4"/>
      <c r="C318" s="4"/>
      <c r="D318" s="4"/>
      <c r="E318" s="4"/>
    </row>
    <row r="319" ht="15.75" customHeight="1">
      <c r="B319" s="4"/>
      <c r="C319" s="4"/>
      <c r="D319" s="4"/>
      <c r="E319" s="4"/>
    </row>
    <row r="320" ht="15.75" customHeight="1">
      <c r="B320" s="4"/>
      <c r="C320" s="4"/>
      <c r="D320" s="4"/>
      <c r="E320" s="4"/>
    </row>
    <row r="321" ht="15.75" customHeight="1">
      <c r="B321" s="4"/>
      <c r="C321" s="4"/>
      <c r="D321" s="4"/>
      <c r="E321" s="4"/>
    </row>
    <row r="322" ht="15.75" customHeight="1">
      <c r="B322" s="4"/>
      <c r="C322" s="4"/>
      <c r="D322" s="4"/>
      <c r="E322" s="4"/>
    </row>
    <row r="323" ht="15.75" customHeight="1">
      <c r="B323" s="4"/>
      <c r="C323" s="4"/>
      <c r="D323" s="4"/>
      <c r="E323" s="4"/>
    </row>
    <row r="324" ht="15.75" customHeight="1">
      <c r="B324" s="4"/>
      <c r="C324" s="4"/>
      <c r="D324" s="4"/>
      <c r="E324" s="4"/>
    </row>
    <row r="325" ht="15.75" customHeight="1">
      <c r="B325" s="4"/>
      <c r="C325" s="4"/>
      <c r="D325" s="4"/>
      <c r="E325" s="4"/>
    </row>
    <row r="326" ht="15.75" customHeight="1">
      <c r="B326" s="4"/>
      <c r="C326" s="4"/>
      <c r="D326" s="4"/>
      <c r="E326" s="4"/>
    </row>
    <row r="327" ht="15.75" customHeight="1">
      <c r="B327" s="4"/>
      <c r="C327" s="4"/>
      <c r="D327" s="4"/>
      <c r="E327" s="4"/>
    </row>
    <row r="328" ht="15.75" customHeight="1">
      <c r="B328" s="4"/>
      <c r="C328" s="4"/>
      <c r="D328" s="4"/>
      <c r="E328" s="4"/>
    </row>
    <row r="329" ht="15.75" customHeight="1">
      <c r="B329" s="4"/>
      <c r="C329" s="4"/>
      <c r="D329" s="4"/>
      <c r="E329" s="4"/>
    </row>
    <row r="330" ht="15.75" customHeight="1">
      <c r="B330" s="4"/>
      <c r="C330" s="4"/>
      <c r="D330" s="4"/>
      <c r="E330" s="4"/>
    </row>
    <row r="331" ht="15.75" customHeight="1">
      <c r="B331" s="4"/>
      <c r="C331" s="4"/>
      <c r="D331" s="4"/>
      <c r="E331" s="4"/>
    </row>
    <row r="332" ht="15.75" customHeight="1">
      <c r="B332" s="4"/>
      <c r="C332" s="4"/>
      <c r="D332" s="4"/>
      <c r="E332" s="4"/>
    </row>
    <row r="333" ht="15.75" customHeight="1">
      <c r="B333" s="4"/>
      <c r="C333" s="4"/>
      <c r="D333" s="4"/>
      <c r="E333" s="4"/>
    </row>
    <row r="334" ht="15.75" customHeight="1">
      <c r="B334" s="4"/>
      <c r="C334" s="4"/>
      <c r="D334" s="4"/>
      <c r="E334" s="4"/>
    </row>
    <row r="335" ht="15.75" customHeight="1">
      <c r="B335" s="4"/>
      <c r="C335" s="4"/>
      <c r="D335" s="4"/>
      <c r="E335" s="4"/>
    </row>
    <row r="336" ht="15.75" customHeight="1">
      <c r="B336" s="4"/>
      <c r="C336" s="4"/>
      <c r="D336" s="4"/>
      <c r="E336" s="4"/>
    </row>
    <row r="337" ht="15.75" customHeight="1">
      <c r="B337" s="4"/>
      <c r="C337" s="4"/>
      <c r="D337" s="4"/>
      <c r="E337" s="4"/>
    </row>
    <row r="338" ht="15.75" customHeight="1">
      <c r="B338" s="4"/>
      <c r="C338" s="4"/>
      <c r="D338" s="4"/>
      <c r="E338" s="4"/>
    </row>
    <row r="339" ht="15.75" customHeight="1">
      <c r="B339" s="4"/>
      <c r="C339" s="4"/>
      <c r="D339" s="4"/>
      <c r="E339" s="4"/>
    </row>
    <row r="340" ht="15.75" customHeight="1">
      <c r="B340" s="4"/>
      <c r="C340" s="4"/>
      <c r="D340" s="4"/>
      <c r="E340" s="4"/>
    </row>
    <row r="341" ht="15.75" customHeight="1">
      <c r="B341" s="4"/>
      <c r="C341" s="4"/>
      <c r="D341" s="4"/>
      <c r="E341" s="4"/>
    </row>
    <row r="342" ht="15.75" customHeight="1">
      <c r="B342" s="4"/>
      <c r="C342" s="4"/>
      <c r="D342" s="4"/>
      <c r="E342" s="4"/>
    </row>
    <row r="343" ht="15.75" customHeight="1">
      <c r="B343" s="4"/>
      <c r="C343" s="4"/>
      <c r="D343" s="4"/>
      <c r="E343" s="4"/>
    </row>
    <row r="344" ht="15.75" customHeight="1">
      <c r="B344" s="4"/>
      <c r="C344" s="4"/>
      <c r="D344" s="4"/>
      <c r="E344" s="4"/>
    </row>
    <row r="345" ht="15.75" customHeight="1">
      <c r="B345" s="4"/>
      <c r="C345" s="4"/>
      <c r="D345" s="4"/>
      <c r="E345" s="4"/>
    </row>
    <row r="346" ht="15.75" customHeight="1">
      <c r="B346" s="4"/>
      <c r="C346" s="4"/>
      <c r="D346" s="4"/>
      <c r="E346" s="4"/>
    </row>
    <row r="347" ht="15.75" customHeight="1">
      <c r="B347" s="4"/>
      <c r="C347" s="4"/>
      <c r="D347" s="4"/>
      <c r="E347" s="4"/>
    </row>
    <row r="348" ht="15.75" customHeight="1">
      <c r="B348" s="4"/>
      <c r="C348" s="4"/>
      <c r="D348" s="4"/>
      <c r="E348" s="4"/>
    </row>
    <row r="349" ht="15.75" customHeight="1">
      <c r="B349" s="4"/>
      <c r="C349" s="4"/>
      <c r="D349" s="4"/>
      <c r="E349" s="4"/>
    </row>
    <row r="350" ht="15.75" customHeight="1">
      <c r="B350" s="4"/>
      <c r="C350" s="4"/>
      <c r="D350" s="4"/>
      <c r="E350" s="4"/>
    </row>
    <row r="351" ht="15.75" customHeight="1">
      <c r="B351" s="4"/>
      <c r="C351" s="4"/>
      <c r="D351" s="4"/>
      <c r="E351" s="4"/>
    </row>
    <row r="352" ht="15.75" customHeight="1">
      <c r="B352" s="4"/>
      <c r="C352" s="4"/>
      <c r="D352" s="4"/>
      <c r="E352" s="4"/>
    </row>
    <row r="353" ht="15.75" customHeight="1">
      <c r="B353" s="4"/>
      <c r="C353" s="4"/>
      <c r="D353" s="4"/>
      <c r="E353" s="4"/>
    </row>
    <row r="354" ht="15.75" customHeight="1">
      <c r="B354" s="4"/>
      <c r="C354" s="4"/>
      <c r="D354" s="4"/>
      <c r="E354" s="4"/>
    </row>
    <row r="355" ht="15.75" customHeight="1">
      <c r="B355" s="4"/>
      <c r="C355" s="4"/>
      <c r="D355" s="4"/>
      <c r="E355" s="4"/>
    </row>
    <row r="356" ht="15.75" customHeight="1">
      <c r="B356" s="4"/>
      <c r="C356" s="4"/>
      <c r="D356" s="4"/>
      <c r="E356" s="4"/>
    </row>
    <row r="357" ht="15.75" customHeight="1">
      <c r="B357" s="4"/>
      <c r="C357" s="4"/>
      <c r="D357" s="4"/>
      <c r="E357" s="4"/>
    </row>
    <row r="358" ht="15.75" customHeight="1">
      <c r="B358" s="4"/>
      <c r="C358" s="4"/>
      <c r="D358" s="4"/>
      <c r="E358" s="4"/>
    </row>
    <row r="359" ht="15.75" customHeight="1">
      <c r="B359" s="4"/>
      <c r="C359" s="4"/>
      <c r="D359" s="4"/>
      <c r="E359" s="4"/>
    </row>
    <row r="360" ht="15.75" customHeight="1">
      <c r="B360" s="4"/>
      <c r="C360" s="4"/>
      <c r="D360" s="4"/>
      <c r="E360" s="4"/>
    </row>
    <row r="361" ht="15.75" customHeight="1">
      <c r="B361" s="4"/>
      <c r="C361" s="4"/>
      <c r="D361" s="4"/>
      <c r="E361" s="4"/>
    </row>
    <row r="362" ht="15.75" customHeight="1">
      <c r="B362" s="4"/>
      <c r="C362" s="4"/>
      <c r="D362" s="4"/>
      <c r="E362" s="4"/>
    </row>
    <row r="363" ht="15.75" customHeight="1">
      <c r="B363" s="4"/>
      <c r="C363" s="4"/>
      <c r="D363" s="4"/>
      <c r="E363" s="4"/>
    </row>
    <row r="364" ht="15.75" customHeight="1">
      <c r="B364" s="4"/>
      <c r="C364" s="4"/>
      <c r="D364" s="4"/>
      <c r="E364" s="4"/>
    </row>
    <row r="365" ht="15.75" customHeight="1">
      <c r="B365" s="4"/>
      <c r="C365" s="4"/>
      <c r="D365" s="4"/>
      <c r="E365" s="4"/>
    </row>
    <row r="366" ht="15.75" customHeight="1">
      <c r="B366" s="4"/>
      <c r="C366" s="4"/>
      <c r="D366" s="4"/>
      <c r="E366" s="4"/>
    </row>
    <row r="367" ht="15.75" customHeight="1">
      <c r="B367" s="4"/>
      <c r="C367" s="4"/>
      <c r="D367" s="4"/>
      <c r="E367" s="4"/>
    </row>
    <row r="368" ht="15.75" customHeight="1">
      <c r="B368" s="4"/>
      <c r="C368" s="4"/>
      <c r="D368" s="4"/>
      <c r="E368" s="4"/>
    </row>
    <row r="369" ht="15.75" customHeight="1">
      <c r="B369" s="4"/>
      <c r="C369" s="4"/>
      <c r="D369" s="4"/>
      <c r="E369" s="4"/>
    </row>
    <row r="370" ht="15.75" customHeight="1">
      <c r="B370" s="4"/>
      <c r="C370" s="4"/>
      <c r="D370" s="4"/>
      <c r="E370" s="4"/>
    </row>
    <row r="371" ht="15.75" customHeight="1">
      <c r="B371" s="4"/>
      <c r="C371" s="4"/>
      <c r="D371" s="4"/>
      <c r="E371" s="4"/>
    </row>
    <row r="372" ht="15.75" customHeight="1">
      <c r="B372" s="4"/>
      <c r="C372" s="4"/>
      <c r="D372" s="4"/>
      <c r="E372" s="4"/>
    </row>
    <row r="373" ht="15.75" customHeight="1">
      <c r="B373" s="4"/>
      <c r="C373" s="4"/>
      <c r="D373" s="4"/>
      <c r="E373" s="4"/>
    </row>
    <row r="374" ht="15.75" customHeight="1">
      <c r="B374" s="4"/>
      <c r="C374" s="4"/>
      <c r="D374" s="4"/>
      <c r="E374" s="4"/>
    </row>
    <row r="375" ht="15.75" customHeight="1">
      <c r="B375" s="4"/>
      <c r="C375" s="4"/>
      <c r="D375" s="4"/>
      <c r="E375" s="4"/>
    </row>
    <row r="376" ht="15.75" customHeight="1">
      <c r="B376" s="4"/>
      <c r="C376" s="4"/>
      <c r="D376" s="4"/>
      <c r="E376" s="4"/>
    </row>
    <row r="377" ht="15.75" customHeight="1">
      <c r="B377" s="4"/>
      <c r="C377" s="4"/>
      <c r="D377" s="4"/>
      <c r="E377" s="4"/>
    </row>
    <row r="378" ht="15.75" customHeight="1">
      <c r="B378" s="4"/>
      <c r="C378" s="4"/>
      <c r="D378" s="4"/>
      <c r="E378" s="4"/>
    </row>
    <row r="379" ht="15.75" customHeight="1">
      <c r="B379" s="4"/>
      <c r="C379" s="4"/>
      <c r="D379" s="4"/>
      <c r="E379" s="4"/>
    </row>
    <row r="380" ht="15.75" customHeight="1">
      <c r="B380" s="4"/>
      <c r="C380" s="4"/>
      <c r="D380" s="4"/>
      <c r="E380" s="4"/>
    </row>
    <row r="381" ht="15.75" customHeight="1">
      <c r="B381" s="4"/>
      <c r="C381" s="4"/>
      <c r="D381" s="4"/>
      <c r="E381" s="4"/>
    </row>
    <row r="382" ht="15.75" customHeight="1">
      <c r="B382" s="4"/>
      <c r="C382" s="4"/>
      <c r="D382" s="4"/>
      <c r="E382" s="4"/>
    </row>
    <row r="383" ht="15.75" customHeight="1">
      <c r="B383" s="4"/>
      <c r="C383" s="4"/>
      <c r="D383" s="4"/>
      <c r="E383" s="4"/>
    </row>
    <row r="384" ht="15.75" customHeight="1">
      <c r="B384" s="4"/>
      <c r="C384" s="4"/>
      <c r="D384" s="4"/>
      <c r="E384" s="4"/>
    </row>
    <row r="385" ht="15.75" customHeight="1">
      <c r="B385" s="4"/>
      <c r="C385" s="4"/>
      <c r="D385" s="4"/>
      <c r="E385" s="4"/>
    </row>
    <row r="386" ht="15.75" customHeight="1">
      <c r="B386" s="4"/>
      <c r="C386" s="4"/>
      <c r="D386" s="4"/>
      <c r="E386" s="4"/>
    </row>
    <row r="387" ht="15.75" customHeight="1">
      <c r="B387" s="4"/>
      <c r="C387" s="4"/>
      <c r="D387" s="4"/>
      <c r="E387" s="4"/>
    </row>
    <row r="388" ht="15.75" customHeight="1">
      <c r="B388" s="4"/>
      <c r="C388" s="4"/>
      <c r="D388" s="4"/>
      <c r="E388" s="4"/>
    </row>
    <row r="389" ht="15.75" customHeight="1">
      <c r="B389" s="4"/>
      <c r="C389" s="4"/>
      <c r="D389" s="4"/>
      <c r="E389" s="4"/>
    </row>
    <row r="390" ht="15.75" customHeight="1">
      <c r="B390" s="4"/>
      <c r="C390" s="4"/>
      <c r="D390" s="4"/>
      <c r="E390" s="4"/>
    </row>
    <row r="391" ht="15.75" customHeight="1">
      <c r="B391" s="4"/>
      <c r="C391" s="4"/>
      <c r="D391" s="4"/>
      <c r="E391" s="4"/>
    </row>
    <row r="392" ht="15.75" customHeight="1">
      <c r="B392" s="4"/>
      <c r="C392" s="4"/>
      <c r="D392" s="4"/>
      <c r="E392" s="4"/>
    </row>
    <row r="393" ht="15.75" customHeight="1">
      <c r="B393" s="4"/>
      <c r="C393" s="4"/>
      <c r="D393" s="4"/>
      <c r="E393" s="4"/>
    </row>
    <row r="394" ht="15.75" customHeight="1">
      <c r="B394" s="4"/>
      <c r="C394" s="4"/>
      <c r="D394" s="4"/>
      <c r="E394" s="4"/>
    </row>
    <row r="395" ht="15.75" customHeight="1">
      <c r="B395" s="4"/>
      <c r="C395" s="4"/>
      <c r="D395" s="4"/>
      <c r="E395" s="4"/>
    </row>
    <row r="396" ht="15.75" customHeight="1">
      <c r="B396" s="4"/>
      <c r="C396" s="4"/>
      <c r="D396" s="4"/>
      <c r="E396" s="4"/>
    </row>
    <row r="397" ht="15.75" customHeight="1">
      <c r="B397" s="4"/>
      <c r="C397" s="4"/>
      <c r="D397" s="4"/>
      <c r="E397" s="4"/>
    </row>
    <row r="398" ht="15.75" customHeight="1">
      <c r="B398" s="4"/>
      <c r="C398" s="4"/>
      <c r="D398" s="4"/>
      <c r="E398" s="4"/>
    </row>
    <row r="399" ht="15.75" customHeight="1">
      <c r="B399" s="4"/>
      <c r="C399" s="4"/>
      <c r="D399" s="4"/>
      <c r="E399" s="4"/>
    </row>
    <row r="400" ht="15.75" customHeight="1">
      <c r="B400" s="4"/>
      <c r="C400" s="4"/>
      <c r="D400" s="4"/>
      <c r="E400" s="4"/>
    </row>
    <row r="401" ht="15.75" customHeight="1">
      <c r="B401" s="4"/>
      <c r="C401" s="4"/>
      <c r="D401" s="4"/>
      <c r="E401" s="4"/>
    </row>
    <row r="402" ht="15.75" customHeight="1">
      <c r="B402" s="4"/>
      <c r="C402" s="4"/>
      <c r="D402" s="4"/>
      <c r="E402" s="4"/>
    </row>
    <row r="403" ht="15.75" customHeight="1">
      <c r="B403" s="4"/>
      <c r="C403" s="4"/>
      <c r="D403" s="4"/>
      <c r="E403" s="4"/>
    </row>
    <row r="404" ht="15.75" customHeight="1">
      <c r="B404" s="4"/>
      <c r="C404" s="4"/>
      <c r="D404" s="4"/>
      <c r="E404" s="4"/>
    </row>
    <row r="405" ht="15.75" customHeight="1">
      <c r="B405" s="4"/>
      <c r="C405" s="4"/>
      <c r="D405" s="4"/>
      <c r="E405" s="4"/>
    </row>
    <row r="406" ht="15.75" customHeight="1">
      <c r="B406" s="4"/>
      <c r="C406" s="4"/>
      <c r="D406" s="4"/>
      <c r="E406" s="4"/>
    </row>
    <row r="407" ht="15.75" customHeight="1">
      <c r="B407" s="4"/>
      <c r="C407" s="4"/>
      <c r="D407" s="4"/>
      <c r="E407" s="4"/>
    </row>
    <row r="408" ht="15.75" customHeight="1">
      <c r="B408" s="4"/>
      <c r="C408" s="4"/>
      <c r="D408" s="4"/>
      <c r="E408" s="4"/>
    </row>
    <row r="409" ht="15.75" customHeight="1">
      <c r="B409" s="4"/>
      <c r="C409" s="4"/>
      <c r="D409" s="4"/>
      <c r="E409" s="4"/>
    </row>
    <row r="410" ht="15.75" customHeight="1">
      <c r="B410" s="4"/>
      <c r="C410" s="4"/>
      <c r="D410" s="4"/>
      <c r="E410" s="4"/>
    </row>
    <row r="411" ht="15.75" customHeight="1">
      <c r="B411" s="4"/>
      <c r="C411" s="4"/>
      <c r="D411" s="4"/>
      <c r="E411" s="4"/>
    </row>
    <row r="412" ht="15.75" customHeight="1">
      <c r="B412" s="4"/>
      <c r="C412" s="4"/>
      <c r="D412" s="4"/>
      <c r="E412" s="4"/>
    </row>
    <row r="413" ht="15.75" customHeight="1">
      <c r="B413" s="4"/>
      <c r="C413" s="4"/>
      <c r="D413" s="4"/>
      <c r="E413" s="4"/>
    </row>
    <row r="414" ht="15.75" customHeight="1">
      <c r="B414" s="4"/>
      <c r="C414" s="4"/>
      <c r="D414" s="4"/>
      <c r="E414" s="4"/>
    </row>
    <row r="415" ht="15.75" customHeight="1">
      <c r="B415" s="4"/>
      <c r="C415" s="4"/>
      <c r="D415" s="4"/>
      <c r="E415" s="4"/>
    </row>
    <row r="416" ht="15.75" customHeight="1">
      <c r="B416" s="4"/>
      <c r="C416" s="4"/>
      <c r="D416" s="4"/>
      <c r="E416" s="4"/>
    </row>
    <row r="417" ht="15.75" customHeight="1">
      <c r="B417" s="4"/>
      <c r="C417" s="4"/>
      <c r="D417" s="4"/>
      <c r="E417" s="4"/>
    </row>
    <row r="418" ht="15.75" customHeight="1">
      <c r="B418" s="4"/>
      <c r="C418" s="4"/>
      <c r="D418" s="4"/>
      <c r="E418" s="4"/>
    </row>
    <row r="419" ht="15.75" customHeight="1">
      <c r="B419" s="4"/>
      <c r="C419" s="4"/>
      <c r="D419" s="4"/>
      <c r="E419" s="4"/>
    </row>
    <row r="420" ht="15.75" customHeight="1">
      <c r="B420" s="4"/>
      <c r="C420" s="4"/>
      <c r="D420" s="4"/>
      <c r="E420" s="4"/>
    </row>
    <row r="421" ht="15.75" customHeight="1">
      <c r="B421" s="4"/>
      <c r="C421" s="4"/>
      <c r="D421" s="4"/>
      <c r="E421" s="4"/>
    </row>
    <row r="422" ht="15.75" customHeight="1">
      <c r="B422" s="4"/>
      <c r="C422" s="4"/>
      <c r="D422" s="4"/>
      <c r="E422" s="4"/>
    </row>
    <row r="423" ht="15.75" customHeight="1">
      <c r="B423" s="4"/>
      <c r="C423" s="4"/>
      <c r="D423" s="4"/>
      <c r="E423" s="4"/>
    </row>
    <row r="424" ht="15.75" customHeight="1">
      <c r="B424" s="4"/>
      <c r="C424" s="4"/>
      <c r="D424" s="4"/>
      <c r="E424" s="4"/>
    </row>
    <row r="425" ht="15.75" customHeight="1">
      <c r="B425" s="4"/>
      <c r="C425" s="4"/>
      <c r="D425" s="4"/>
      <c r="E425" s="4"/>
    </row>
    <row r="426" ht="15.75" customHeight="1">
      <c r="B426" s="4"/>
      <c r="C426" s="4"/>
      <c r="D426" s="4"/>
      <c r="E426" s="4"/>
    </row>
    <row r="427" ht="15.75" customHeight="1">
      <c r="B427" s="4"/>
      <c r="C427" s="4"/>
      <c r="D427" s="4"/>
      <c r="E427" s="4"/>
    </row>
    <row r="428" ht="15.75" customHeight="1">
      <c r="B428" s="4"/>
      <c r="C428" s="4"/>
      <c r="D428" s="4"/>
      <c r="E428" s="4"/>
    </row>
    <row r="429" ht="15.75" customHeight="1">
      <c r="B429" s="4"/>
      <c r="C429" s="4"/>
      <c r="D429" s="4"/>
      <c r="E429" s="4"/>
    </row>
    <row r="430" ht="15.75" customHeight="1">
      <c r="B430" s="4"/>
      <c r="C430" s="4"/>
      <c r="D430" s="4"/>
      <c r="E430" s="4"/>
    </row>
    <row r="431" ht="15.75" customHeight="1">
      <c r="B431" s="4"/>
      <c r="C431" s="4"/>
      <c r="D431" s="4"/>
      <c r="E431" s="4"/>
    </row>
    <row r="432" ht="15.75" customHeight="1">
      <c r="B432" s="4"/>
      <c r="C432" s="4"/>
      <c r="D432" s="4"/>
      <c r="E432" s="4"/>
    </row>
    <row r="433" ht="15.75" customHeight="1">
      <c r="B433" s="4"/>
      <c r="C433" s="4"/>
      <c r="D433" s="4"/>
      <c r="E433" s="4"/>
    </row>
    <row r="434" ht="15.75" customHeight="1">
      <c r="B434" s="4"/>
      <c r="C434" s="4"/>
      <c r="D434" s="4"/>
      <c r="E434" s="4"/>
    </row>
    <row r="435" ht="15.75" customHeight="1">
      <c r="B435" s="4"/>
      <c r="C435" s="4"/>
      <c r="D435" s="4"/>
      <c r="E435" s="4"/>
    </row>
    <row r="436" ht="15.75" customHeight="1">
      <c r="B436" s="4"/>
      <c r="C436" s="4"/>
      <c r="D436" s="4"/>
      <c r="E436" s="4"/>
    </row>
    <row r="437" ht="15.75" customHeight="1">
      <c r="B437" s="4"/>
      <c r="C437" s="4"/>
      <c r="D437" s="4"/>
      <c r="E437" s="4"/>
    </row>
    <row r="438" ht="15.75" customHeight="1">
      <c r="B438" s="4"/>
      <c r="C438" s="4"/>
      <c r="D438" s="4"/>
      <c r="E438" s="4"/>
    </row>
    <row r="439" ht="15.75" customHeight="1">
      <c r="B439" s="4"/>
      <c r="C439" s="4"/>
      <c r="D439" s="4"/>
      <c r="E439" s="4"/>
    </row>
    <row r="440" ht="15.75" customHeight="1">
      <c r="B440" s="4"/>
      <c r="C440" s="4"/>
      <c r="D440" s="4"/>
      <c r="E440" s="4"/>
    </row>
    <row r="441" ht="15.75" customHeight="1">
      <c r="B441" s="4"/>
      <c r="C441" s="4"/>
      <c r="D441" s="4"/>
      <c r="E441" s="4"/>
    </row>
    <row r="442" ht="15.75" customHeight="1">
      <c r="B442" s="4"/>
      <c r="C442" s="4"/>
      <c r="D442" s="4"/>
      <c r="E442" s="4"/>
    </row>
    <row r="443" ht="15.75" customHeight="1">
      <c r="B443" s="4"/>
      <c r="C443" s="4"/>
      <c r="D443" s="4"/>
      <c r="E443" s="4"/>
    </row>
    <row r="444" ht="15.75" customHeight="1">
      <c r="B444" s="4"/>
      <c r="C444" s="4"/>
      <c r="D444" s="4"/>
      <c r="E444" s="4"/>
    </row>
    <row r="445" ht="15.75" customHeight="1">
      <c r="B445" s="4"/>
      <c r="C445" s="4"/>
      <c r="D445" s="4"/>
      <c r="E445" s="4"/>
    </row>
    <row r="446" ht="15.75" customHeight="1">
      <c r="B446" s="4"/>
      <c r="C446" s="4"/>
      <c r="D446" s="4"/>
      <c r="E446" s="4"/>
    </row>
    <row r="447" ht="15.75" customHeight="1">
      <c r="B447" s="4"/>
      <c r="C447" s="4"/>
      <c r="D447" s="4"/>
      <c r="E447" s="4"/>
    </row>
    <row r="448" ht="15.75" customHeight="1">
      <c r="B448" s="4"/>
      <c r="C448" s="4"/>
      <c r="D448" s="4"/>
      <c r="E448" s="4"/>
    </row>
    <row r="449" ht="15.75" customHeight="1">
      <c r="B449" s="4"/>
      <c r="C449" s="4"/>
      <c r="D449" s="4"/>
      <c r="E449" s="4"/>
    </row>
    <row r="450" ht="15.75" customHeight="1">
      <c r="B450" s="4"/>
      <c r="C450" s="4"/>
      <c r="D450" s="4"/>
      <c r="E450" s="4"/>
    </row>
    <row r="451" ht="15.75" customHeight="1">
      <c r="B451" s="4"/>
      <c r="C451" s="4"/>
      <c r="D451" s="4"/>
      <c r="E451" s="4"/>
    </row>
    <row r="452" ht="15.75" customHeight="1">
      <c r="B452" s="4"/>
      <c r="C452" s="4"/>
      <c r="D452" s="4"/>
      <c r="E452" s="4"/>
    </row>
    <row r="453" ht="15.75" customHeight="1">
      <c r="B453" s="4"/>
      <c r="C453" s="4"/>
      <c r="D453" s="4"/>
      <c r="E453" s="4"/>
    </row>
    <row r="454" ht="15.75" customHeight="1">
      <c r="B454" s="4"/>
      <c r="C454" s="4"/>
      <c r="D454" s="4"/>
      <c r="E454" s="4"/>
    </row>
    <row r="455" ht="15.75" customHeight="1">
      <c r="B455" s="4"/>
      <c r="C455" s="4"/>
      <c r="D455" s="4"/>
      <c r="E455" s="4"/>
    </row>
    <row r="456" ht="15.75" customHeight="1">
      <c r="B456" s="4"/>
      <c r="C456" s="4"/>
      <c r="D456" s="4"/>
      <c r="E456" s="4"/>
    </row>
    <row r="457" ht="15.75" customHeight="1">
      <c r="B457" s="4"/>
      <c r="C457" s="4"/>
      <c r="D457" s="4"/>
      <c r="E457" s="4"/>
    </row>
    <row r="458" ht="15.75" customHeight="1">
      <c r="B458" s="4"/>
      <c r="C458" s="4"/>
      <c r="D458" s="4"/>
      <c r="E458" s="4"/>
    </row>
    <row r="459" ht="15.75" customHeight="1">
      <c r="B459" s="4"/>
      <c r="C459" s="4"/>
      <c r="D459" s="4"/>
      <c r="E459" s="4"/>
    </row>
    <row r="460" ht="15.75" customHeight="1">
      <c r="B460" s="4"/>
      <c r="C460" s="4"/>
      <c r="D460" s="4"/>
      <c r="E460" s="4"/>
    </row>
    <row r="461" ht="15.75" customHeight="1">
      <c r="B461" s="4"/>
      <c r="C461" s="4"/>
      <c r="D461" s="4"/>
      <c r="E461" s="4"/>
    </row>
    <row r="462" ht="15.75" customHeight="1">
      <c r="B462" s="4"/>
      <c r="C462" s="4"/>
      <c r="D462" s="4"/>
      <c r="E462" s="4"/>
    </row>
    <row r="463" ht="15.75" customHeight="1">
      <c r="B463" s="4"/>
      <c r="C463" s="4"/>
      <c r="D463" s="4"/>
      <c r="E463" s="4"/>
    </row>
    <row r="464" ht="15.75" customHeight="1">
      <c r="B464" s="4"/>
      <c r="C464" s="4"/>
      <c r="D464" s="4"/>
      <c r="E464" s="4"/>
    </row>
    <row r="465" ht="15.75" customHeight="1">
      <c r="B465" s="4"/>
      <c r="C465" s="4"/>
      <c r="D465" s="4"/>
      <c r="E465" s="4"/>
    </row>
    <row r="466" ht="15.75" customHeight="1">
      <c r="B466" s="4"/>
      <c r="C466" s="4"/>
      <c r="D466" s="4"/>
      <c r="E466" s="4"/>
    </row>
    <row r="467" ht="15.75" customHeight="1">
      <c r="B467" s="4"/>
      <c r="C467" s="4"/>
      <c r="D467" s="4"/>
      <c r="E467" s="4"/>
    </row>
    <row r="468" ht="15.75" customHeight="1">
      <c r="B468" s="4"/>
      <c r="C468" s="4"/>
      <c r="D468" s="4"/>
      <c r="E468" s="4"/>
    </row>
    <row r="469" ht="15.75" customHeight="1">
      <c r="B469" s="4"/>
      <c r="C469" s="4"/>
      <c r="D469" s="4"/>
      <c r="E469" s="4"/>
    </row>
    <row r="470" ht="15.75" customHeight="1">
      <c r="B470" s="4"/>
      <c r="C470" s="4"/>
      <c r="D470" s="4"/>
      <c r="E470" s="4"/>
    </row>
    <row r="471" ht="15.75" customHeight="1">
      <c r="B471" s="4"/>
      <c r="C471" s="4"/>
      <c r="D471" s="4"/>
      <c r="E471" s="4"/>
    </row>
    <row r="472" ht="15.75" customHeight="1">
      <c r="B472" s="4"/>
      <c r="C472" s="4"/>
      <c r="D472" s="4"/>
      <c r="E472" s="4"/>
    </row>
    <row r="473" ht="15.75" customHeight="1">
      <c r="B473" s="4"/>
      <c r="C473" s="4"/>
      <c r="D473" s="4"/>
      <c r="E473" s="4"/>
    </row>
    <row r="474" ht="15.75" customHeight="1">
      <c r="B474" s="4"/>
      <c r="C474" s="4"/>
      <c r="D474" s="4"/>
      <c r="E474" s="4"/>
    </row>
    <row r="475" ht="15.75" customHeight="1">
      <c r="B475" s="4"/>
      <c r="C475" s="4"/>
      <c r="D475" s="4"/>
      <c r="E475" s="4"/>
    </row>
    <row r="476" ht="15.75" customHeight="1">
      <c r="B476" s="4"/>
      <c r="C476" s="4"/>
      <c r="D476" s="4"/>
      <c r="E476" s="4"/>
    </row>
    <row r="477" ht="15.75" customHeight="1">
      <c r="B477" s="4"/>
      <c r="C477" s="4"/>
      <c r="D477" s="4"/>
      <c r="E477" s="4"/>
    </row>
    <row r="478" ht="15.75" customHeight="1">
      <c r="B478" s="4"/>
      <c r="C478" s="4"/>
      <c r="D478" s="4"/>
      <c r="E478" s="4"/>
    </row>
    <row r="479" ht="15.75" customHeight="1">
      <c r="B479" s="4"/>
      <c r="C479" s="4"/>
      <c r="D479" s="4"/>
      <c r="E479" s="4"/>
    </row>
    <row r="480" ht="15.75" customHeight="1">
      <c r="B480" s="4"/>
      <c r="C480" s="4"/>
      <c r="D480" s="4"/>
      <c r="E480" s="4"/>
    </row>
    <row r="481" ht="15.75" customHeight="1">
      <c r="B481" s="4"/>
      <c r="C481" s="4"/>
      <c r="D481" s="4"/>
      <c r="E481" s="4"/>
    </row>
    <row r="482" ht="15.75" customHeight="1">
      <c r="B482" s="4"/>
      <c r="C482" s="4"/>
      <c r="D482" s="4"/>
      <c r="E482" s="4"/>
    </row>
    <row r="483" ht="15.75" customHeight="1">
      <c r="B483" s="4"/>
      <c r="C483" s="4"/>
      <c r="D483" s="4"/>
      <c r="E483" s="4"/>
    </row>
    <row r="484" ht="15.75" customHeight="1">
      <c r="B484" s="4"/>
      <c r="C484" s="4"/>
      <c r="D484" s="4"/>
      <c r="E484" s="4"/>
    </row>
    <row r="485" ht="15.75" customHeight="1">
      <c r="B485" s="4"/>
      <c r="C485" s="4"/>
      <c r="D485" s="4"/>
      <c r="E485" s="4"/>
    </row>
    <row r="486" ht="15.75" customHeight="1">
      <c r="B486" s="4"/>
      <c r="C486" s="4"/>
      <c r="D486" s="4"/>
      <c r="E486" s="4"/>
    </row>
    <row r="487" ht="15.75" customHeight="1">
      <c r="B487" s="4"/>
      <c r="C487" s="4"/>
      <c r="D487" s="4"/>
      <c r="E487" s="4"/>
    </row>
    <row r="488" ht="15.75" customHeight="1">
      <c r="B488" s="4"/>
      <c r="C488" s="4"/>
      <c r="D488" s="4"/>
      <c r="E488" s="4"/>
    </row>
    <row r="489" ht="15.75" customHeight="1">
      <c r="B489" s="4"/>
      <c r="C489" s="4"/>
      <c r="D489" s="4"/>
      <c r="E489" s="4"/>
    </row>
    <row r="490" ht="15.75" customHeight="1">
      <c r="B490" s="4"/>
      <c r="C490" s="4"/>
      <c r="D490" s="4"/>
      <c r="E490" s="4"/>
    </row>
    <row r="491" ht="15.75" customHeight="1">
      <c r="B491" s="4"/>
      <c r="C491" s="4"/>
      <c r="D491" s="4"/>
      <c r="E491" s="4"/>
    </row>
    <row r="492" ht="15.75" customHeight="1">
      <c r="B492" s="4"/>
      <c r="C492" s="4"/>
      <c r="D492" s="4"/>
      <c r="E492" s="4"/>
    </row>
    <row r="493" ht="15.75" customHeight="1">
      <c r="B493" s="4"/>
      <c r="C493" s="4"/>
      <c r="D493" s="4"/>
      <c r="E493" s="4"/>
    </row>
    <row r="494" ht="15.75" customHeight="1">
      <c r="B494" s="4"/>
      <c r="C494" s="4"/>
      <c r="D494" s="4"/>
      <c r="E494" s="4"/>
    </row>
    <row r="495" ht="15.75" customHeight="1">
      <c r="B495" s="4"/>
      <c r="C495" s="4"/>
      <c r="D495" s="4"/>
      <c r="E495" s="4"/>
    </row>
    <row r="496" ht="15.75" customHeight="1">
      <c r="B496" s="4"/>
      <c r="C496" s="4"/>
      <c r="D496" s="4"/>
      <c r="E496" s="4"/>
    </row>
    <row r="497" ht="15.75" customHeight="1">
      <c r="B497" s="4"/>
      <c r="C497" s="4"/>
      <c r="D497" s="4"/>
      <c r="E497" s="4"/>
    </row>
    <row r="498" ht="15.75" customHeight="1">
      <c r="B498" s="4"/>
      <c r="C498" s="4"/>
      <c r="D498" s="4"/>
      <c r="E498" s="4"/>
    </row>
    <row r="499" ht="15.75" customHeight="1">
      <c r="B499" s="4"/>
      <c r="C499" s="4"/>
      <c r="D499" s="4"/>
      <c r="E499" s="4"/>
    </row>
    <row r="500" ht="15.75" customHeight="1">
      <c r="B500" s="4"/>
      <c r="C500" s="4"/>
      <c r="D500" s="4"/>
      <c r="E500" s="4"/>
    </row>
    <row r="501" ht="15.75" customHeight="1">
      <c r="B501" s="4"/>
      <c r="C501" s="4"/>
      <c r="D501" s="4"/>
      <c r="E501" s="4"/>
    </row>
    <row r="502" ht="15.75" customHeight="1">
      <c r="B502" s="4"/>
      <c r="C502" s="4"/>
      <c r="D502" s="4"/>
      <c r="E502" s="4"/>
    </row>
    <row r="503" ht="15.75" customHeight="1">
      <c r="B503" s="4"/>
      <c r="C503" s="4"/>
      <c r="D503" s="4"/>
      <c r="E503" s="4"/>
    </row>
    <row r="504" ht="15.75" customHeight="1">
      <c r="B504" s="4"/>
      <c r="C504" s="4"/>
      <c r="D504" s="4"/>
      <c r="E504" s="4"/>
    </row>
    <row r="505" ht="15.75" customHeight="1">
      <c r="B505" s="4"/>
      <c r="C505" s="4"/>
      <c r="D505" s="4"/>
      <c r="E505" s="4"/>
    </row>
    <row r="506" ht="15.75" customHeight="1">
      <c r="B506" s="4"/>
      <c r="C506" s="4"/>
      <c r="D506" s="4"/>
      <c r="E506" s="4"/>
    </row>
    <row r="507" ht="15.75" customHeight="1">
      <c r="B507" s="4"/>
      <c r="C507" s="4"/>
      <c r="D507" s="4"/>
      <c r="E507" s="4"/>
    </row>
    <row r="508" ht="15.75" customHeight="1">
      <c r="B508" s="4"/>
      <c r="C508" s="4"/>
      <c r="D508" s="4"/>
      <c r="E508" s="4"/>
    </row>
    <row r="509" ht="15.75" customHeight="1">
      <c r="B509" s="4"/>
      <c r="C509" s="4"/>
      <c r="D509" s="4"/>
      <c r="E509" s="4"/>
    </row>
    <row r="510" ht="15.75" customHeight="1">
      <c r="B510" s="4"/>
      <c r="C510" s="4"/>
      <c r="D510" s="4"/>
      <c r="E510" s="4"/>
    </row>
    <row r="511" ht="15.75" customHeight="1">
      <c r="B511" s="4"/>
      <c r="C511" s="4"/>
      <c r="D511" s="4"/>
      <c r="E511" s="4"/>
    </row>
    <row r="512" ht="15.75" customHeight="1">
      <c r="B512" s="4"/>
      <c r="C512" s="4"/>
      <c r="D512" s="4"/>
      <c r="E512" s="4"/>
    </row>
    <row r="513" ht="15.75" customHeight="1">
      <c r="B513" s="4"/>
      <c r="C513" s="4"/>
      <c r="D513" s="4"/>
      <c r="E513" s="4"/>
    </row>
    <row r="514" ht="15.75" customHeight="1">
      <c r="B514" s="4"/>
      <c r="C514" s="4"/>
      <c r="D514" s="4"/>
      <c r="E514" s="4"/>
    </row>
    <row r="515" ht="15.75" customHeight="1">
      <c r="B515" s="4"/>
      <c r="C515" s="4"/>
      <c r="D515" s="4"/>
      <c r="E515" s="4"/>
    </row>
    <row r="516" ht="15.75" customHeight="1">
      <c r="B516" s="4"/>
      <c r="C516" s="4"/>
      <c r="D516" s="4"/>
      <c r="E516" s="4"/>
    </row>
    <row r="517" ht="15.75" customHeight="1">
      <c r="B517" s="4"/>
      <c r="C517" s="4"/>
      <c r="D517" s="4"/>
      <c r="E517" s="4"/>
    </row>
    <row r="518" ht="15.75" customHeight="1">
      <c r="B518" s="4"/>
      <c r="C518" s="4"/>
      <c r="D518" s="4"/>
      <c r="E518" s="4"/>
    </row>
    <row r="519" ht="15.75" customHeight="1">
      <c r="B519" s="4"/>
      <c r="C519" s="4"/>
      <c r="D519" s="4"/>
      <c r="E519" s="4"/>
    </row>
    <row r="520" ht="15.75" customHeight="1">
      <c r="B520" s="4"/>
      <c r="C520" s="4"/>
      <c r="D520" s="4"/>
      <c r="E520" s="4"/>
    </row>
    <row r="521" ht="15.75" customHeight="1">
      <c r="B521" s="4"/>
      <c r="C521" s="4"/>
      <c r="D521" s="4"/>
      <c r="E521" s="4"/>
    </row>
    <row r="522" ht="15.75" customHeight="1">
      <c r="B522" s="4"/>
      <c r="C522" s="4"/>
      <c r="D522" s="4"/>
      <c r="E522" s="4"/>
    </row>
    <row r="523" ht="15.75" customHeight="1">
      <c r="B523" s="4"/>
      <c r="C523" s="4"/>
      <c r="D523" s="4"/>
      <c r="E523" s="4"/>
    </row>
    <row r="524" ht="15.75" customHeight="1">
      <c r="B524" s="4"/>
      <c r="C524" s="4"/>
      <c r="D524" s="4"/>
      <c r="E524" s="4"/>
    </row>
    <row r="525" ht="15.75" customHeight="1">
      <c r="B525" s="4"/>
      <c r="C525" s="4"/>
      <c r="D525" s="4"/>
      <c r="E525" s="4"/>
    </row>
    <row r="526" ht="15.75" customHeight="1">
      <c r="B526" s="4"/>
      <c r="C526" s="4"/>
      <c r="D526" s="4"/>
      <c r="E526" s="4"/>
    </row>
    <row r="527" ht="15.75" customHeight="1">
      <c r="B527" s="4"/>
      <c r="C527" s="4"/>
      <c r="D527" s="4"/>
      <c r="E527" s="4"/>
    </row>
    <row r="528" ht="15.75" customHeight="1">
      <c r="B528" s="4"/>
      <c r="C528" s="4"/>
      <c r="D528" s="4"/>
      <c r="E528" s="4"/>
    </row>
    <row r="529" ht="15.75" customHeight="1">
      <c r="B529" s="4"/>
      <c r="C529" s="4"/>
      <c r="D529" s="4"/>
      <c r="E529" s="4"/>
    </row>
    <row r="530" ht="15.75" customHeight="1">
      <c r="B530" s="4"/>
      <c r="C530" s="4"/>
      <c r="D530" s="4"/>
      <c r="E530" s="4"/>
    </row>
    <row r="531" ht="15.75" customHeight="1">
      <c r="B531" s="4"/>
      <c r="C531" s="4"/>
      <c r="D531" s="4"/>
      <c r="E531" s="4"/>
    </row>
    <row r="532" ht="15.75" customHeight="1">
      <c r="B532" s="4"/>
      <c r="C532" s="4"/>
      <c r="D532" s="4"/>
      <c r="E532" s="4"/>
    </row>
    <row r="533" ht="15.75" customHeight="1">
      <c r="B533" s="4"/>
      <c r="C533" s="4"/>
      <c r="D533" s="4"/>
      <c r="E533" s="4"/>
    </row>
    <row r="534" ht="15.75" customHeight="1">
      <c r="B534" s="4"/>
      <c r="C534" s="4"/>
      <c r="D534" s="4"/>
      <c r="E534" s="4"/>
    </row>
    <row r="535" ht="15.75" customHeight="1">
      <c r="B535" s="4"/>
      <c r="C535" s="4"/>
      <c r="D535" s="4"/>
      <c r="E535" s="4"/>
    </row>
    <row r="536" ht="15.75" customHeight="1">
      <c r="B536" s="4"/>
      <c r="C536" s="4"/>
      <c r="D536" s="4"/>
      <c r="E536" s="4"/>
    </row>
    <row r="537" ht="15.75" customHeight="1">
      <c r="B537" s="4"/>
      <c r="C537" s="4"/>
      <c r="D537" s="4"/>
      <c r="E537" s="4"/>
    </row>
    <row r="538" ht="15.75" customHeight="1">
      <c r="B538" s="4"/>
      <c r="C538" s="4"/>
      <c r="D538" s="4"/>
      <c r="E538" s="4"/>
    </row>
    <row r="539" ht="15.75" customHeight="1">
      <c r="B539" s="4"/>
      <c r="C539" s="4"/>
      <c r="D539" s="4"/>
      <c r="E539" s="4"/>
    </row>
    <row r="540" ht="15.75" customHeight="1">
      <c r="B540" s="4"/>
      <c r="C540" s="4"/>
      <c r="D540" s="4"/>
      <c r="E540" s="4"/>
    </row>
    <row r="541" ht="15.75" customHeight="1">
      <c r="B541" s="4"/>
      <c r="C541" s="4"/>
      <c r="D541" s="4"/>
      <c r="E541" s="4"/>
    </row>
    <row r="542" ht="15.75" customHeight="1">
      <c r="B542" s="4"/>
      <c r="C542" s="4"/>
      <c r="D542" s="4"/>
      <c r="E542" s="4"/>
    </row>
    <row r="543" ht="15.75" customHeight="1">
      <c r="B543" s="4"/>
      <c r="C543" s="4"/>
      <c r="D543" s="4"/>
      <c r="E543" s="4"/>
    </row>
    <row r="544" ht="15.75" customHeight="1">
      <c r="B544" s="4"/>
      <c r="C544" s="4"/>
      <c r="D544" s="4"/>
      <c r="E544" s="4"/>
    </row>
    <row r="545" ht="15.75" customHeight="1">
      <c r="B545" s="4"/>
      <c r="C545" s="4"/>
      <c r="D545" s="4"/>
      <c r="E545" s="4"/>
    </row>
    <row r="546" ht="15.75" customHeight="1">
      <c r="B546" s="4"/>
      <c r="C546" s="4"/>
      <c r="D546" s="4"/>
      <c r="E546" s="4"/>
    </row>
    <row r="547" ht="15.75" customHeight="1">
      <c r="B547" s="4"/>
      <c r="C547" s="4"/>
      <c r="D547" s="4"/>
      <c r="E547" s="4"/>
    </row>
    <row r="548" ht="15.75" customHeight="1">
      <c r="B548" s="4"/>
      <c r="C548" s="4"/>
      <c r="D548" s="4"/>
      <c r="E548" s="4"/>
    </row>
    <row r="549" ht="15.75" customHeight="1">
      <c r="B549" s="4"/>
      <c r="C549" s="4"/>
      <c r="D549" s="4"/>
      <c r="E549" s="4"/>
    </row>
    <row r="550" ht="15.75" customHeight="1">
      <c r="B550" s="4"/>
      <c r="C550" s="4"/>
      <c r="D550" s="4"/>
      <c r="E550" s="4"/>
    </row>
    <row r="551" ht="15.75" customHeight="1">
      <c r="B551" s="4"/>
      <c r="C551" s="4"/>
      <c r="D551" s="4"/>
      <c r="E551" s="4"/>
    </row>
    <row r="552" ht="15.75" customHeight="1">
      <c r="B552" s="4"/>
      <c r="C552" s="4"/>
      <c r="D552" s="4"/>
      <c r="E552" s="4"/>
    </row>
    <row r="553" ht="15.75" customHeight="1">
      <c r="B553" s="4"/>
      <c r="C553" s="4"/>
      <c r="D553" s="4"/>
      <c r="E553" s="4"/>
    </row>
    <row r="554" ht="15.75" customHeight="1">
      <c r="B554" s="4"/>
      <c r="C554" s="4"/>
      <c r="D554" s="4"/>
      <c r="E554" s="4"/>
    </row>
    <row r="555" ht="15.75" customHeight="1">
      <c r="B555" s="4"/>
      <c r="C555" s="4"/>
      <c r="D555" s="4"/>
      <c r="E555" s="4"/>
    </row>
    <row r="556" ht="15.75" customHeight="1">
      <c r="B556" s="4"/>
      <c r="C556" s="4"/>
      <c r="D556" s="4"/>
      <c r="E556" s="4"/>
    </row>
    <row r="557" ht="15.75" customHeight="1">
      <c r="B557" s="4"/>
      <c r="C557" s="4"/>
      <c r="D557" s="4"/>
      <c r="E557" s="4"/>
    </row>
    <row r="558" ht="15.75" customHeight="1">
      <c r="B558" s="4"/>
      <c r="C558" s="4"/>
      <c r="D558" s="4"/>
      <c r="E558" s="4"/>
    </row>
    <row r="559" ht="15.75" customHeight="1">
      <c r="B559" s="4"/>
      <c r="C559" s="4"/>
      <c r="D559" s="4"/>
      <c r="E559" s="4"/>
    </row>
    <row r="560" ht="15.75" customHeight="1">
      <c r="B560" s="4"/>
      <c r="C560" s="4"/>
      <c r="D560" s="4"/>
      <c r="E560" s="4"/>
    </row>
    <row r="561" ht="15.75" customHeight="1">
      <c r="B561" s="4"/>
      <c r="C561" s="4"/>
      <c r="D561" s="4"/>
      <c r="E561" s="4"/>
    </row>
    <row r="562" ht="15.75" customHeight="1">
      <c r="B562" s="4"/>
      <c r="C562" s="4"/>
      <c r="D562" s="4"/>
      <c r="E562" s="4"/>
    </row>
    <row r="563" ht="15.75" customHeight="1">
      <c r="B563" s="4"/>
      <c r="C563" s="4"/>
      <c r="D563" s="4"/>
      <c r="E563" s="4"/>
    </row>
    <row r="564" ht="15.75" customHeight="1">
      <c r="B564" s="4"/>
      <c r="C564" s="4"/>
      <c r="D564" s="4"/>
      <c r="E564" s="4"/>
    </row>
    <row r="565" ht="15.75" customHeight="1">
      <c r="B565" s="4"/>
      <c r="C565" s="4"/>
      <c r="D565" s="4"/>
      <c r="E565" s="4"/>
    </row>
    <row r="566" ht="15.75" customHeight="1">
      <c r="B566" s="4"/>
      <c r="C566" s="4"/>
      <c r="D566" s="4"/>
      <c r="E566" s="4"/>
    </row>
    <row r="567" ht="15.75" customHeight="1">
      <c r="B567" s="4"/>
      <c r="C567" s="4"/>
      <c r="D567" s="4"/>
      <c r="E567" s="4"/>
    </row>
    <row r="568" ht="15.75" customHeight="1">
      <c r="B568" s="4"/>
      <c r="C568" s="4"/>
      <c r="D568" s="4"/>
      <c r="E568" s="4"/>
    </row>
    <row r="569" ht="15.75" customHeight="1">
      <c r="B569" s="4"/>
      <c r="C569" s="4"/>
      <c r="D569" s="4"/>
      <c r="E569" s="4"/>
    </row>
    <row r="570" ht="15.75" customHeight="1">
      <c r="B570" s="4"/>
      <c r="C570" s="4"/>
      <c r="D570" s="4"/>
      <c r="E570" s="4"/>
    </row>
    <row r="571" ht="15.75" customHeight="1">
      <c r="B571" s="4"/>
      <c r="C571" s="4"/>
      <c r="D571" s="4"/>
      <c r="E571" s="4"/>
    </row>
    <row r="572" ht="15.75" customHeight="1">
      <c r="B572" s="4"/>
      <c r="C572" s="4"/>
      <c r="D572" s="4"/>
      <c r="E572" s="4"/>
    </row>
    <row r="573" ht="15.75" customHeight="1">
      <c r="B573" s="4"/>
      <c r="C573" s="4"/>
      <c r="D573" s="4"/>
      <c r="E573" s="4"/>
    </row>
    <row r="574" ht="15.75" customHeight="1">
      <c r="B574" s="4"/>
      <c r="C574" s="4"/>
      <c r="D574" s="4"/>
      <c r="E574" s="4"/>
    </row>
    <row r="575" ht="15.75" customHeight="1">
      <c r="B575" s="4"/>
      <c r="C575" s="4"/>
      <c r="D575" s="4"/>
      <c r="E575" s="4"/>
    </row>
    <row r="576" ht="15.75" customHeight="1">
      <c r="B576" s="4"/>
      <c r="C576" s="4"/>
      <c r="D576" s="4"/>
      <c r="E576" s="4"/>
    </row>
    <row r="577" ht="15.75" customHeight="1">
      <c r="B577" s="4"/>
      <c r="C577" s="4"/>
      <c r="D577" s="4"/>
      <c r="E577" s="4"/>
    </row>
    <row r="578" ht="15.75" customHeight="1">
      <c r="B578" s="4"/>
      <c r="C578" s="4"/>
      <c r="D578" s="4"/>
      <c r="E578" s="4"/>
    </row>
    <row r="579" ht="15.75" customHeight="1">
      <c r="B579" s="4"/>
      <c r="C579" s="4"/>
      <c r="D579" s="4"/>
      <c r="E579" s="4"/>
    </row>
    <row r="580" ht="15.75" customHeight="1">
      <c r="B580" s="4"/>
      <c r="C580" s="4"/>
      <c r="D580" s="4"/>
      <c r="E580" s="4"/>
    </row>
    <row r="581" ht="15.75" customHeight="1">
      <c r="B581" s="4"/>
      <c r="C581" s="4"/>
      <c r="D581" s="4"/>
      <c r="E581" s="4"/>
    </row>
    <row r="582" ht="15.75" customHeight="1">
      <c r="B582" s="4"/>
      <c r="C582" s="4"/>
      <c r="D582" s="4"/>
      <c r="E582" s="4"/>
    </row>
    <row r="583" ht="15.75" customHeight="1">
      <c r="B583" s="4"/>
      <c r="C583" s="4"/>
      <c r="D583" s="4"/>
      <c r="E583" s="4"/>
    </row>
    <row r="584" ht="15.75" customHeight="1">
      <c r="B584" s="4"/>
      <c r="C584" s="4"/>
      <c r="D584" s="4"/>
      <c r="E584" s="4"/>
    </row>
    <row r="585" ht="15.75" customHeight="1">
      <c r="B585" s="4"/>
      <c r="C585" s="4"/>
      <c r="D585" s="4"/>
      <c r="E585" s="4"/>
    </row>
    <row r="586" ht="15.75" customHeight="1">
      <c r="B586" s="4"/>
      <c r="C586" s="4"/>
      <c r="D586" s="4"/>
      <c r="E586" s="4"/>
    </row>
    <row r="587" ht="15.75" customHeight="1">
      <c r="B587" s="4"/>
      <c r="C587" s="4"/>
      <c r="D587" s="4"/>
      <c r="E587" s="4"/>
    </row>
    <row r="588" ht="15.75" customHeight="1">
      <c r="B588" s="4"/>
      <c r="C588" s="4"/>
      <c r="D588" s="4"/>
      <c r="E588" s="4"/>
    </row>
    <row r="589" ht="15.75" customHeight="1">
      <c r="B589" s="4"/>
      <c r="C589" s="4"/>
      <c r="D589" s="4"/>
      <c r="E589" s="4"/>
    </row>
    <row r="590" ht="15.75" customHeight="1">
      <c r="B590" s="4"/>
      <c r="C590" s="4"/>
      <c r="D590" s="4"/>
      <c r="E590" s="4"/>
    </row>
    <row r="591" ht="15.75" customHeight="1">
      <c r="B591" s="4"/>
      <c r="C591" s="4"/>
      <c r="D591" s="4"/>
      <c r="E591" s="4"/>
    </row>
    <row r="592" ht="15.75" customHeight="1">
      <c r="B592" s="4"/>
      <c r="C592" s="4"/>
      <c r="D592" s="4"/>
      <c r="E592" s="4"/>
    </row>
    <row r="593" ht="15.75" customHeight="1">
      <c r="B593" s="4"/>
      <c r="C593" s="4"/>
      <c r="D593" s="4"/>
      <c r="E593" s="4"/>
    </row>
    <row r="594" ht="15.75" customHeight="1">
      <c r="B594" s="4"/>
      <c r="C594" s="4"/>
      <c r="D594" s="4"/>
      <c r="E594" s="4"/>
    </row>
    <row r="595" ht="15.75" customHeight="1">
      <c r="B595" s="4"/>
      <c r="C595" s="4"/>
      <c r="D595" s="4"/>
      <c r="E595" s="4"/>
    </row>
    <row r="596" ht="15.75" customHeight="1">
      <c r="B596" s="4"/>
      <c r="C596" s="4"/>
      <c r="D596" s="4"/>
      <c r="E596" s="4"/>
    </row>
    <row r="597" ht="15.75" customHeight="1">
      <c r="B597" s="4"/>
      <c r="C597" s="4"/>
      <c r="D597" s="4"/>
      <c r="E597" s="4"/>
    </row>
    <row r="598" ht="15.75" customHeight="1">
      <c r="B598" s="4"/>
      <c r="C598" s="4"/>
      <c r="D598" s="4"/>
      <c r="E598" s="4"/>
    </row>
    <row r="599" ht="15.75" customHeight="1">
      <c r="B599" s="4"/>
      <c r="C599" s="4"/>
      <c r="D599" s="4"/>
      <c r="E599" s="4"/>
    </row>
    <row r="600" ht="15.75" customHeight="1">
      <c r="B600" s="4"/>
      <c r="C600" s="4"/>
      <c r="D600" s="4"/>
      <c r="E600" s="4"/>
    </row>
    <row r="601" ht="15.75" customHeight="1">
      <c r="B601" s="4"/>
      <c r="C601" s="4"/>
      <c r="D601" s="4"/>
      <c r="E601" s="4"/>
    </row>
    <row r="602" ht="15.75" customHeight="1">
      <c r="B602" s="4"/>
      <c r="C602" s="4"/>
      <c r="D602" s="4"/>
      <c r="E602" s="4"/>
    </row>
    <row r="603" ht="15.75" customHeight="1">
      <c r="B603" s="4"/>
      <c r="C603" s="4"/>
      <c r="D603" s="4"/>
      <c r="E603" s="4"/>
    </row>
    <row r="604" ht="15.75" customHeight="1">
      <c r="B604" s="4"/>
      <c r="C604" s="4"/>
      <c r="D604" s="4"/>
      <c r="E604" s="4"/>
    </row>
    <row r="605" ht="15.75" customHeight="1">
      <c r="B605" s="4"/>
      <c r="C605" s="4"/>
      <c r="D605" s="4"/>
      <c r="E605" s="4"/>
    </row>
    <row r="606" ht="15.75" customHeight="1">
      <c r="B606" s="4"/>
      <c r="C606" s="4"/>
      <c r="D606" s="4"/>
      <c r="E606" s="4"/>
    </row>
    <row r="607" ht="15.75" customHeight="1">
      <c r="B607" s="4"/>
      <c r="C607" s="4"/>
      <c r="D607" s="4"/>
      <c r="E607" s="4"/>
    </row>
    <row r="608" ht="15.75" customHeight="1">
      <c r="B608" s="4"/>
      <c r="C608" s="4"/>
      <c r="D608" s="4"/>
      <c r="E608" s="4"/>
    </row>
    <row r="609" ht="15.75" customHeight="1">
      <c r="B609" s="4"/>
      <c r="C609" s="4"/>
      <c r="D609" s="4"/>
      <c r="E609" s="4"/>
    </row>
    <row r="610" ht="15.75" customHeight="1">
      <c r="B610" s="4"/>
      <c r="C610" s="4"/>
      <c r="D610" s="4"/>
      <c r="E610" s="4"/>
    </row>
    <row r="611" ht="15.75" customHeight="1">
      <c r="B611" s="4"/>
      <c r="C611" s="4"/>
      <c r="D611" s="4"/>
      <c r="E611" s="4"/>
    </row>
    <row r="612" ht="15.75" customHeight="1">
      <c r="B612" s="4"/>
      <c r="C612" s="4"/>
      <c r="D612" s="4"/>
      <c r="E612" s="4"/>
    </row>
    <row r="613" ht="15.75" customHeight="1">
      <c r="B613" s="4"/>
      <c r="C613" s="4"/>
      <c r="D613" s="4"/>
      <c r="E613" s="4"/>
    </row>
    <row r="614" ht="15.75" customHeight="1">
      <c r="B614" s="4"/>
      <c r="C614" s="4"/>
      <c r="D614" s="4"/>
      <c r="E614" s="4"/>
    </row>
    <row r="615" ht="15.75" customHeight="1">
      <c r="B615" s="4"/>
      <c r="C615" s="4"/>
      <c r="D615" s="4"/>
      <c r="E615" s="4"/>
    </row>
    <row r="616" ht="15.75" customHeight="1">
      <c r="B616" s="4"/>
      <c r="C616" s="4"/>
      <c r="D616" s="4"/>
      <c r="E616" s="4"/>
    </row>
    <row r="617" ht="15.75" customHeight="1">
      <c r="B617" s="4"/>
      <c r="C617" s="4"/>
      <c r="D617" s="4"/>
      <c r="E617" s="4"/>
    </row>
    <row r="618" ht="15.75" customHeight="1">
      <c r="B618" s="4"/>
      <c r="C618" s="4"/>
      <c r="D618" s="4"/>
      <c r="E618" s="4"/>
    </row>
    <row r="619" ht="15.75" customHeight="1">
      <c r="B619" s="4"/>
      <c r="C619" s="4"/>
      <c r="D619" s="4"/>
      <c r="E619" s="4"/>
    </row>
    <row r="620" ht="15.75" customHeight="1">
      <c r="B620" s="4"/>
      <c r="C620" s="4"/>
      <c r="D620" s="4"/>
      <c r="E620" s="4"/>
    </row>
    <row r="621" ht="15.75" customHeight="1">
      <c r="B621" s="4"/>
      <c r="C621" s="4"/>
      <c r="D621" s="4"/>
      <c r="E621" s="4"/>
    </row>
    <row r="622" ht="15.75" customHeight="1">
      <c r="B622" s="4"/>
      <c r="C622" s="4"/>
      <c r="D622" s="4"/>
      <c r="E622" s="4"/>
    </row>
    <row r="623" ht="15.75" customHeight="1">
      <c r="B623" s="4"/>
      <c r="C623" s="4"/>
      <c r="D623" s="4"/>
      <c r="E623" s="4"/>
    </row>
    <row r="624" ht="15.75" customHeight="1">
      <c r="B624" s="4"/>
      <c r="C624" s="4"/>
      <c r="D624" s="4"/>
      <c r="E624" s="4"/>
    </row>
    <row r="625" ht="15.75" customHeight="1">
      <c r="B625" s="4"/>
      <c r="C625" s="4"/>
      <c r="D625" s="4"/>
      <c r="E625" s="4"/>
    </row>
    <row r="626" ht="15.75" customHeight="1">
      <c r="B626" s="4"/>
      <c r="C626" s="4"/>
      <c r="D626" s="4"/>
      <c r="E626" s="4"/>
    </row>
    <row r="627" ht="15.75" customHeight="1">
      <c r="B627" s="4"/>
      <c r="C627" s="4"/>
      <c r="D627" s="4"/>
      <c r="E627" s="4"/>
    </row>
    <row r="628" ht="15.75" customHeight="1">
      <c r="B628" s="4"/>
      <c r="C628" s="4"/>
      <c r="D628" s="4"/>
      <c r="E628" s="4"/>
    </row>
    <row r="629" ht="15.75" customHeight="1">
      <c r="B629" s="4"/>
      <c r="C629" s="4"/>
      <c r="D629" s="4"/>
      <c r="E629" s="4"/>
    </row>
    <row r="630" ht="15.75" customHeight="1">
      <c r="B630" s="4"/>
      <c r="C630" s="4"/>
      <c r="D630" s="4"/>
      <c r="E630" s="4"/>
    </row>
    <row r="631" ht="15.75" customHeight="1">
      <c r="B631" s="4"/>
      <c r="C631" s="4"/>
      <c r="D631" s="4"/>
      <c r="E631" s="4"/>
    </row>
    <row r="632" ht="15.75" customHeight="1">
      <c r="B632" s="4"/>
      <c r="C632" s="4"/>
      <c r="D632" s="4"/>
      <c r="E632" s="4"/>
    </row>
    <row r="633" ht="15.75" customHeight="1">
      <c r="B633" s="4"/>
      <c r="C633" s="4"/>
      <c r="D633" s="4"/>
      <c r="E633" s="4"/>
    </row>
    <row r="634" ht="15.75" customHeight="1">
      <c r="B634" s="4"/>
      <c r="C634" s="4"/>
      <c r="D634" s="4"/>
      <c r="E634" s="4"/>
    </row>
    <row r="635" ht="15.75" customHeight="1">
      <c r="B635" s="4"/>
      <c r="C635" s="4"/>
      <c r="D635" s="4"/>
      <c r="E635" s="4"/>
    </row>
    <row r="636" ht="15.75" customHeight="1">
      <c r="B636" s="4"/>
      <c r="C636" s="4"/>
      <c r="D636" s="4"/>
      <c r="E636" s="4"/>
    </row>
    <row r="637" ht="15.75" customHeight="1">
      <c r="B637" s="4"/>
      <c r="C637" s="4"/>
      <c r="D637" s="4"/>
      <c r="E637" s="4"/>
    </row>
    <row r="638" ht="15.75" customHeight="1">
      <c r="B638" s="4"/>
      <c r="C638" s="4"/>
      <c r="D638" s="4"/>
      <c r="E638" s="4"/>
    </row>
    <row r="639" ht="15.75" customHeight="1">
      <c r="B639" s="4"/>
      <c r="C639" s="4"/>
      <c r="D639" s="4"/>
      <c r="E639" s="4"/>
    </row>
    <row r="640" ht="15.75" customHeight="1">
      <c r="B640" s="4"/>
      <c r="C640" s="4"/>
      <c r="D640" s="4"/>
      <c r="E640" s="4"/>
    </row>
    <row r="641" ht="15.75" customHeight="1">
      <c r="B641" s="4"/>
      <c r="C641" s="4"/>
      <c r="D641" s="4"/>
      <c r="E641" s="4"/>
    </row>
    <row r="642" ht="15.75" customHeight="1">
      <c r="B642" s="4"/>
      <c r="C642" s="4"/>
      <c r="D642" s="4"/>
      <c r="E642" s="4"/>
    </row>
    <row r="643" ht="15.75" customHeight="1">
      <c r="B643" s="4"/>
      <c r="C643" s="4"/>
      <c r="D643" s="4"/>
      <c r="E643" s="4"/>
    </row>
    <row r="644" ht="15.75" customHeight="1">
      <c r="B644" s="4"/>
      <c r="C644" s="4"/>
      <c r="D644" s="4"/>
      <c r="E644" s="4"/>
    </row>
    <row r="645" ht="15.75" customHeight="1">
      <c r="B645" s="4"/>
      <c r="C645" s="4"/>
      <c r="D645" s="4"/>
      <c r="E645" s="4"/>
    </row>
    <row r="646" ht="15.75" customHeight="1">
      <c r="B646" s="4"/>
      <c r="C646" s="4"/>
      <c r="D646" s="4"/>
      <c r="E646" s="4"/>
    </row>
    <row r="647" ht="15.75" customHeight="1">
      <c r="B647" s="4"/>
      <c r="C647" s="4"/>
      <c r="D647" s="4"/>
      <c r="E647" s="4"/>
    </row>
    <row r="648" ht="15.75" customHeight="1">
      <c r="B648" s="4"/>
      <c r="C648" s="4"/>
      <c r="D648" s="4"/>
      <c r="E648" s="4"/>
    </row>
    <row r="649" ht="15.75" customHeight="1">
      <c r="B649" s="4"/>
      <c r="C649" s="4"/>
      <c r="D649" s="4"/>
      <c r="E649" s="4"/>
    </row>
    <row r="650" ht="15.75" customHeight="1">
      <c r="B650" s="4"/>
      <c r="C650" s="4"/>
      <c r="D650" s="4"/>
      <c r="E650" s="4"/>
    </row>
    <row r="651" ht="15.75" customHeight="1">
      <c r="B651" s="4"/>
      <c r="C651" s="4"/>
      <c r="D651" s="4"/>
      <c r="E651" s="4"/>
    </row>
    <row r="652" ht="15.75" customHeight="1">
      <c r="B652" s="4"/>
      <c r="C652" s="4"/>
      <c r="D652" s="4"/>
      <c r="E652" s="4"/>
    </row>
    <row r="653" ht="15.75" customHeight="1">
      <c r="B653" s="4"/>
      <c r="C653" s="4"/>
      <c r="D653" s="4"/>
      <c r="E653" s="4"/>
    </row>
    <row r="654" ht="15.75" customHeight="1">
      <c r="B654" s="4"/>
      <c r="C654" s="4"/>
      <c r="D654" s="4"/>
      <c r="E654" s="4"/>
    </row>
    <row r="655" ht="15.75" customHeight="1">
      <c r="B655" s="4"/>
      <c r="C655" s="4"/>
      <c r="D655" s="4"/>
      <c r="E655" s="4"/>
    </row>
    <row r="656" ht="15.75" customHeight="1">
      <c r="B656" s="4"/>
      <c r="C656" s="4"/>
      <c r="D656" s="4"/>
      <c r="E656" s="4"/>
    </row>
    <row r="657" ht="15.75" customHeight="1">
      <c r="B657" s="4"/>
      <c r="C657" s="4"/>
      <c r="D657" s="4"/>
      <c r="E657" s="4"/>
    </row>
    <row r="658" ht="15.75" customHeight="1">
      <c r="B658" s="4"/>
      <c r="C658" s="4"/>
      <c r="D658" s="4"/>
      <c r="E658" s="4"/>
    </row>
    <row r="659" ht="15.75" customHeight="1">
      <c r="B659" s="4"/>
      <c r="C659" s="4"/>
      <c r="D659" s="4"/>
      <c r="E659" s="4"/>
    </row>
    <row r="660" ht="15.75" customHeight="1">
      <c r="B660" s="4"/>
      <c r="C660" s="4"/>
      <c r="D660" s="4"/>
      <c r="E660" s="4"/>
    </row>
    <row r="661" ht="15.75" customHeight="1">
      <c r="B661" s="4"/>
      <c r="C661" s="4"/>
      <c r="D661" s="4"/>
      <c r="E661" s="4"/>
    </row>
    <row r="662" ht="15.75" customHeight="1">
      <c r="B662" s="4"/>
      <c r="C662" s="4"/>
      <c r="D662" s="4"/>
      <c r="E662" s="4"/>
    </row>
    <row r="663" ht="15.75" customHeight="1">
      <c r="B663" s="4"/>
      <c r="C663" s="4"/>
      <c r="D663" s="4"/>
      <c r="E663" s="4"/>
    </row>
    <row r="664" ht="15.75" customHeight="1">
      <c r="B664" s="4"/>
      <c r="C664" s="4"/>
      <c r="D664" s="4"/>
      <c r="E664" s="4"/>
    </row>
    <row r="665" ht="15.75" customHeight="1">
      <c r="B665" s="4"/>
      <c r="C665" s="4"/>
      <c r="D665" s="4"/>
      <c r="E665" s="4"/>
    </row>
    <row r="666" ht="15.75" customHeight="1">
      <c r="B666" s="4"/>
      <c r="C666" s="4"/>
      <c r="D666" s="4"/>
      <c r="E666" s="4"/>
    </row>
    <row r="667" ht="15.75" customHeight="1">
      <c r="B667" s="4"/>
      <c r="C667" s="4"/>
      <c r="D667" s="4"/>
      <c r="E667" s="4"/>
    </row>
    <row r="668" ht="15.75" customHeight="1">
      <c r="B668" s="4"/>
      <c r="C668" s="4"/>
      <c r="D668" s="4"/>
      <c r="E668" s="4"/>
    </row>
    <row r="669" ht="15.75" customHeight="1">
      <c r="B669" s="4"/>
      <c r="C669" s="4"/>
      <c r="D669" s="4"/>
      <c r="E669" s="4"/>
    </row>
    <row r="670" ht="15.75" customHeight="1">
      <c r="B670" s="4"/>
      <c r="C670" s="4"/>
      <c r="D670" s="4"/>
      <c r="E670" s="4"/>
    </row>
    <row r="671" ht="15.75" customHeight="1">
      <c r="B671" s="4"/>
      <c r="C671" s="4"/>
      <c r="D671" s="4"/>
      <c r="E671" s="4"/>
    </row>
    <row r="672" ht="15.75" customHeight="1">
      <c r="B672" s="4"/>
      <c r="C672" s="4"/>
      <c r="D672" s="4"/>
      <c r="E672" s="4"/>
    </row>
    <row r="673" ht="15.75" customHeight="1">
      <c r="B673" s="4"/>
      <c r="C673" s="4"/>
      <c r="D673" s="4"/>
      <c r="E673" s="4"/>
    </row>
    <row r="674" ht="15.75" customHeight="1">
      <c r="B674" s="4"/>
      <c r="C674" s="4"/>
      <c r="D674" s="4"/>
      <c r="E674" s="4"/>
    </row>
    <row r="675" ht="15.75" customHeight="1">
      <c r="B675" s="4"/>
      <c r="C675" s="4"/>
      <c r="D675" s="4"/>
      <c r="E675" s="4"/>
    </row>
    <row r="676" ht="15.75" customHeight="1">
      <c r="B676" s="4"/>
      <c r="C676" s="4"/>
      <c r="D676" s="4"/>
      <c r="E676" s="4"/>
    </row>
    <row r="677" ht="15.75" customHeight="1">
      <c r="B677" s="4"/>
      <c r="C677" s="4"/>
      <c r="D677" s="4"/>
      <c r="E677" s="4"/>
    </row>
    <row r="678" ht="15.75" customHeight="1">
      <c r="B678" s="4"/>
      <c r="C678" s="4"/>
      <c r="D678" s="4"/>
      <c r="E678" s="4"/>
    </row>
    <row r="679" ht="15.75" customHeight="1">
      <c r="B679" s="4"/>
      <c r="C679" s="4"/>
      <c r="D679" s="4"/>
      <c r="E679" s="4"/>
    </row>
    <row r="680" ht="15.75" customHeight="1">
      <c r="B680" s="4"/>
      <c r="C680" s="4"/>
      <c r="D680" s="4"/>
      <c r="E680" s="4"/>
    </row>
    <row r="681" ht="15.75" customHeight="1">
      <c r="B681" s="4"/>
      <c r="C681" s="4"/>
      <c r="D681" s="4"/>
      <c r="E681" s="4"/>
    </row>
    <row r="682" ht="15.75" customHeight="1">
      <c r="B682" s="4"/>
      <c r="C682" s="4"/>
      <c r="D682" s="4"/>
      <c r="E682" s="4"/>
    </row>
    <row r="683" ht="15.75" customHeight="1">
      <c r="B683" s="4"/>
      <c r="C683" s="4"/>
      <c r="D683" s="4"/>
      <c r="E683" s="4"/>
    </row>
    <row r="684" ht="15.75" customHeight="1">
      <c r="B684" s="4"/>
      <c r="C684" s="4"/>
      <c r="D684" s="4"/>
      <c r="E684" s="4"/>
    </row>
    <row r="685" ht="15.75" customHeight="1">
      <c r="B685" s="4"/>
      <c r="C685" s="4"/>
      <c r="D685" s="4"/>
      <c r="E685" s="4"/>
    </row>
    <row r="686" ht="15.75" customHeight="1">
      <c r="B686" s="4"/>
      <c r="C686" s="4"/>
      <c r="D686" s="4"/>
      <c r="E686" s="4"/>
    </row>
    <row r="687" ht="15.75" customHeight="1">
      <c r="B687" s="4"/>
      <c r="C687" s="4"/>
      <c r="D687" s="4"/>
      <c r="E687" s="4"/>
    </row>
    <row r="688" ht="15.75" customHeight="1">
      <c r="B688" s="4"/>
      <c r="C688" s="4"/>
      <c r="D688" s="4"/>
      <c r="E688" s="4"/>
    </row>
    <row r="689" ht="15.75" customHeight="1">
      <c r="B689" s="4"/>
      <c r="C689" s="4"/>
      <c r="D689" s="4"/>
      <c r="E689" s="4"/>
    </row>
    <row r="690" ht="15.75" customHeight="1">
      <c r="B690" s="4"/>
      <c r="C690" s="4"/>
      <c r="D690" s="4"/>
      <c r="E690" s="4"/>
    </row>
    <row r="691" ht="15.75" customHeight="1">
      <c r="B691" s="4"/>
      <c r="C691" s="4"/>
      <c r="D691" s="4"/>
      <c r="E691" s="4"/>
    </row>
    <row r="692" ht="15.75" customHeight="1">
      <c r="B692" s="4"/>
      <c r="C692" s="4"/>
      <c r="D692" s="4"/>
      <c r="E692" s="4"/>
    </row>
    <row r="693" ht="15.75" customHeight="1">
      <c r="B693" s="4"/>
      <c r="C693" s="4"/>
      <c r="D693" s="4"/>
      <c r="E693" s="4"/>
    </row>
    <row r="694" ht="15.75" customHeight="1">
      <c r="B694" s="4"/>
      <c r="C694" s="4"/>
      <c r="D694" s="4"/>
      <c r="E694" s="4"/>
    </row>
    <row r="695" ht="15.75" customHeight="1">
      <c r="B695" s="4"/>
      <c r="C695" s="4"/>
      <c r="D695" s="4"/>
      <c r="E695" s="4"/>
    </row>
    <row r="696" ht="15.75" customHeight="1">
      <c r="B696" s="4"/>
      <c r="C696" s="4"/>
      <c r="D696" s="4"/>
      <c r="E696" s="4"/>
    </row>
    <row r="697" ht="15.75" customHeight="1">
      <c r="B697" s="4"/>
      <c r="C697" s="4"/>
      <c r="D697" s="4"/>
      <c r="E697" s="4"/>
    </row>
    <row r="698" ht="15.75" customHeight="1">
      <c r="B698" s="4"/>
      <c r="C698" s="4"/>
      <c r="D698" s="4"/>
      <c r="E698" s="4"/>
    </row>
    <row r="699" ht="15.75" customHeight="1">
      <c r="B699" s="4"/>
      <c r="C699" s="4"/>
      <c r="D699" s="4"/>
      <c r="E699" s="4"/>
    </row>
    <row r="700" ht="15.75" customHeight="1">
      <c r="B700" s="4"/>
      <c r="C700" s="4"/>
      <c r="D700" s="4"/>
      <c r="E700" s="4"/>
    </row>
    <row r="701" ht="15.75" customHeight="1">
      <c r="B701" s="4"/>
      <c r="C701" s="4"/>
      <c r="D701" s="4"/>
      <c r="E701" s="4"/>
    </row>
    <row r="702" ht="15.75" customHeight="1">
      <c r="B702" s="4"/>
      <c r="C702" s="4"/>
      <c r="D702" s="4"/>
      <c r="E702" s="4"/>
    </row>
    <row r="703" ht="15.75" customHeight="1">
      <c r="B703" s="4"/>
      <c r="C703" s="4"/>
      <c r="D703" s="4"/>
      <c r="E703" s="4"/>
    </row>
    <row r="704" ht="15.75" customHeight="1">
      <c r="B704" s="4"/>
      <c r="C704" s="4"/>
      <c r="D704" s="4"/>
      <c r="E704" s="4"/>
    </row>
    <row r="705" ht="15.75" customHeight="1">
      <c r="B705" s="4"/>
      <c r="C705" s="4"/>
      <c r="D705" s="4"/>
      <c r="E705" s="4"/>
    </row>
    <row r="706" ht="15.75" customHeight="1">
      <c r="B706" s="4"/>
      <c r="C706" s="4"/>
      <c r="D706" s="4"/>
      <c r="E706" s="4"/>
    </row>
    <row r="707" ht="15.75" customHeight="1">
      <c r="B707" s="4"/>
      <c r="C707" s="4"/>
      <c r="D707" s="4"/>
      <c r="E707" s="4"/>
    </row>
    <row r="708" ht="15.75" customHeight="1">
      <c r="B708" s="4"/>
      <c r="C708" s="4"/>
      <c r="D708" s="4"/>
      <c r="E708" s="4"/>
    </row>
    <row r="709" ht="15.75" customHeight="1">
      <c r="B709" s="4"/>
      <c r="C709" s="4"/>
      <c r="D709" s="4"/>
      <c r="E709" s="4"/>
    </row>
    <row r="710" ht="15.75" customHeight="1">
      <c r="B710" s="4"/>
      <c r="C710" s="4"/>
      <c r="D710" s="4"/>
      <c r="E710" s="4"/>
    </row>
    <row r="711" ht="15.75" customHeight="1">
      <c r="B711" s="4"/>
      <c r="C711" s="4"/>
      <c r="D711" s="4"/>
      <c r="E711" s="4"/>
    </row>
    <row r="712" ht="15.75" customHeight="1">
      <c r="B712" s="4"/>
      <c r="C712" s="4"/>
      <c r="D712" s="4"/>
      <c r="E712" s="4"/>
    </row>
    <row r="713" ht="15.75" customHeight="1">
      <c r="B713" s="4"/>
      <c r="C713" s="4"/>
      <c r="D713" s="4"/>
      <c r="E713" s="4"/>
    </row>
    <row r="714" ht="15.75" customHeight="1">
      <c r="B714" s="4"/>
      <c r="C714" s="4"/>
      <c r="D714" s="4"/>
      <c r="E714" s="4"/>
    </row>
    <row r="715" ht="15.75" customHeight="1">
      <c r="B715" s="4"/>
      <c r="C715" s="4"/>
      <c r="D715" s="4"/>
      <c r="E715" s="4"/>
    </row>
    <row r="716" ht="15.75" customHeight="1">
      <c r="B716" s="4"/>
      <c r="C716" s="4"/>
      <c r="D716" s="4"/>
      <c r="E716" s="4"/>
    </row>
    <row r="717" ht="15.75" customHeight="1">
      <c r="B717" s="4"/>
      <c r="C717" s="4"/>
      <c r="D717" s="4"/>
      <c r="E717" s="4"/>
    </row>
    <row r="718" ht="15.75" customHeight="1">
      <c r="B718" s="4"/>
      <c r="C718" s="4"/>
      <c r="D718" s="4"/>
      <c r="E718" s="4"/>
    </row>
    <row r="719" ht="15.75" customHeight="1">
      <c r="B719" s="4"/>
      <c r="C719" s="4"/>
      <c r="D719" s="4"/>
      <c r="E719" s="4"/>
    </row>
    <row r="720" ht="15.75" customHeight="1">
      <c r="B720" s="4"/>
      <c r="C720" s="4"/>
      <c r="D720" s="4"/>
      <c r="E720" s="4"/>
    </row>
    <row r="721" ht="15.75" customHeight="1">
      <c r="B721" s="4"/>
      <c r="C721" s="4"/>
      <c r="D721" s="4"/>
      <c r="E721" s="4"/>
    </row>
    <row r="722" ht="15.75" customHeight="1">
      <c r="B722" s="4"/>
      <c r="C722" s="4"/>
      <c r="D722" s="4"/>
      <c r="E722" s="4"/>
    </row>
    <row r="723" ht="15.75" customHeight="1">
      <c r="B723" s="4"/>
      <c r="C723" s="4"/>
      <c r="D723" s="4"/>
      <c r="E723" s="4"/>
    </row>
    <row r="724" ht="15.75" customHeight="1">
      <c r="B724" s="4"/>
      <c r="C724" s="4"/>
      <c r="D724" s="4"/>
      <c r="E724" s="4"/>
    </row>
    <row r="725" ht="15.75" customHeight="1">
      <c r="B725" s="4"/>
      <c r="C725" s="4"/>
      <c r="D725" s="4"/>
      <c r="E725" s="4"/>
    </row>
    <row r="726" ht="15.75" customHeight="1">
      <c r="B726" s="4"/>
      <c r="C726" s="4"/>
      <c r="D726" s="4"/>
      <c r="E726" s="4"/>
    </row>
    <row r="727" ht="15.75" customHeight="1">
      <c r="B727" s="4"/>
      <c r="C727" s="4"/>
      <c r="D727" s="4"/>
      <c r="E727" s="4"/>
    </row>
    <row r="728" ht="15.75" customHeight="1">
      <c r="B728" s="4"/>
      <c r="C728" s="4"/>
      <c r="D728" s="4"/>
      <c r="E728" s="4"/>
    </row>
    <row r="729" ht="15.75" customHeight="1">
      <c r="B729" s="4"/>
      <c r="C729" s="4"/>
      <c r="D729" s="4"/>
      <c r="E729" s="4"/>
    </row>
    <row r="730" ht="15.75" customHeight="1">
      <c r="B730" s="4"/>
      <c r="C730" s="4"/>
      <c r="D730" s="4"/>
      <c r="E730" s="4"/>
    </row>
    <row r="731" ht="15.75" customHeight="1">
      <c r="B731" s="4"/>
      <c r="C731" s="4"/>
      <c r="D731" s="4"/>
      <c r="E731" s="4"/>
    </row>
    <row r="732" ht="15.75" customHeight="1">
      <c r="B732" s="4"/>
      <c r="C732" s="4"/>
      <c r="D732" s="4"/>
      <c r="E732" s="4"/>
    </row>
    <row r="733" ht="15.75" customHeight="1">
      <c r="B733" s="4"/>
      <c r="C733" s="4"/>
      <c r="D733" s="4"/>
      <c r="E733" s="4"/>
    </row>
    <row r="734" ht="15.75" customHeight="1">
      <c r="B734" s="4"/>
      <c r="C734" s="4"/>
      <c r="D734" s="4"/>
      <c r="E734" s="4"/>
    </row>
    <row r="735" ht="15.75" customHeight="1">
      <c r="B735" s="4"/>
      <c r="C735" s="4"/>
      <c r="D735" s="4"/>
      <c r="E735" s="4"/>
    </row>
    <row r="736" ht="15.75" customHeight="1">
      <c r="B736" s="4"/>
      <c r="C736" s="4"/>
      <c r="D736" s="4"/>
      <c r="E736" s="4"/>
    </row>
    <row r="737" ht="15.75" customHeight="1">
      <c r="B737" s="4"/>
      <c r="C737" s="4"/>
      <c r="D737" s="4"/>
      <c r="E737" s="4"/>
    </row>
    <row r="738" ht="15.75" customHeight="1">
      <c r="B738" s="4"/>
      <c r="C738" s="4"/>
      <c r="D738" s="4"/>
      <c r="E738" s="4"/>
    </row>
    <row r="739" ht="15.75" customHeight="1">
      <c r="B739" s="4"/>
      <c r="C739" s="4"/>
      <c r="D739" s="4"/>
      <c r="E739" s="4"/>
    </row>
    <row r="740" ht="15.75" customHeight="1">
      <c r="B740" s="4"/>
      <c r="C740" s="4"/>
      <c r="D740" s="4"/>
      <c r="E740" s="4"/>
    </row>
    <row r="741" ht="15.75" customHeight="1">
      <c r="B741" s="4"/>
      <c r="C741" s="4"/>
      <c r="D741" s="4"/>
      <c r="E741" s="4"/>
    </row>
    <row r="742" ht="15.75" customHeight="1">
      <c r="B742" s="4"/>
      <c r="C742" s="4"/>
      <c r="D742" s="4"/>
      <c r="E742" s="4"/>
    </row>
    <row r="743" ht="15.75" customHeight="1">
      <c r="B743" s="4"/>
      <c r="C743" s="4"/>
      <c r="D743" s="4"/>
      <c r="E743" s="4"/>
    </row>
    <row r="744" ht="15.75" customHeight="1">
      <c r="B744" s="4"/>
      <c r="C744" s="4"/>
      <c r="D744" s="4"/>
      <c r="E744" s="4"/>
    </row>
    <row r="745" ht="15.75" customHeight="1">
      <c r="B745" s="4"/>
      <c r="C745" s="4"/>
      <c r="D745" s="4"/>
      <c r="E745" s="4"/>
    </row>
    <row r="746" ht="15.75" customHeight="1">
      <c r="B746" s="4"/>
      <c r="C746" s="4"/>
      <c r="D746" s="4"/>
      <c r="E746" s="4"/>
    </row>
    <row r="747" ht="15.75" customHeight="1">
      <c r="B747" s="4"/>
      <c r="C747" s="4"/>
      <c r="D747" s="4"/>
      <c r="E747" s="4"/>
    </row>
    <row r="748" ht="15.75" customHeight="1">
      <c r="B748" s="4"/>
      <c r="C748" s="4"/>
      <c r="D748" s="4"/>
      <c r="E748" s="4"/>
    </row>
    <row r="749" ht="15.75" customHeight="1">
      <c r="B749" s="4"/>
      <c r="C749" s="4"/>
      <c r="D749" s="4"/>
      <c r="E749" s="4"/>
    </row>
    <row r="750" ht="15.75" customHeight="1">
      <c r="B750" s="4"/>
      <c r="C750" s="4"/>
      <c r="D750" s="4"/>
      <c r="E750" s="4"/>
    </row>
    <row r="751" ht="15.75" customHeight="1">
      <c r="B751" s="4"/>
      <c r="C751" s="4"/>
      <c r="D751" s="4"/>
      <c r="E751" s="4"/>
    </row>
    <row r="752" ht="15.75" customHeight="1">
      <c r="B752" s="4"/>
      <c r="C752" s="4"/>
      <c r="D752" s="4"/>
      <c r="E752" s="4"/>
    </row>
    <row r="753" ht="15.75" customHeight="1">
      <c r="B753" s="4"/>
      <c r="C753" s="4"/>
      <c r="D753" s="4"/>
      <c r="E753" s="4"/>
    </row>
    <row r="754" ht="15.75" customHeight="1">
      <c r="B754" s="4"/>
      <c r="C754" s="4"/>
      <c r="D754" s="4"/>
      <c r="E754" s="4"/>
    </row>
    <row r="755" ht="15.75" customHeight="1">
      <c r="B755" s="4"/>
      <c r="C755" s="4"/>
      <c r="D755" s="4"/>
      <c r="E755" s="4"/>
    </row>
    <row r="756" ht="15.75" customHeight="1">
      <c r="B756" s="4"/>
      <c r="C756" s="4"/>
      <c r="D756" s="4"/>
      <c r="E756" s="4"/>
    </row>
    <row r="757" ht="15.75" customHeight="1">
      <c r="B757" s="4"/>
      <c r="C757" s="4"/>
      <c r="D757" s="4"/>
      <c r="E757" s="4"/>
    </row>
    <row r="758" ht="15.75" customHeight="1">
      <c r="B758" s="4"/>
      <c r="C758" s="4"/>
      <c r="D758" s="4"/>
      <c r="E758" s="4"/>
    </row>
    <row r="759" ht="15.75" customHeight="1">
      <c r="B759" s="4"/>
      <c r="C759" s="4"/>
      <c r="D759" s="4"/>
      <c r="E759" s="4"/>
    </row>
    <row r="760" ht="15.75" customHeight="1">
      <c r="B760" s="4"/>
      <c r="C760" s="4"/>
      <c r="D760" s="4"/>
      <c r="E760" s="4"/>
    </row>
    <row r="761" ht="15.75" customHeight="1">
      <c r="B761" s="4"/>
      <c r="C761" s="4"/>
      <c r="D761" s="4"/>
      <c r="E761" s="4"/>
    </row>
    <row r="762" ht="15.75" customHeight="1">
      <c r="B762" s="4"/>
      <c r="C762" s="4"/>
      <c r="D762" s="4"/>
      <c r="E762" s="4"/>
    </row>
    <row r="763" ht="15.75" customHeight="1">
      <c r="B763" s="4"/>
      <c r="C763" s="4"/>
      <c r="D763" s="4"/>
      <c r="E763" s="4"/>
    </row>
    <row r="764" ht="15.75" customHeight="1">
      <c r="B764" s="4"/>
      <c r="C764" s="4"/>
      <c r="D764" s="4"/>
      <c r="E764" s="4"/>
    </row>
    <row r="765" ht="15.75" customHeight="1">
      <c r="B765" s="4"/>
      <c r="C765" s="4"/>
      <c r="D765" s="4"/>
      <c r="E765" s="4"/>
    </row>
    <row r="766" ht="15.75" customHeight="1">
      <c r="B766" s="4"/>
      <c r="C766" s="4"/>
      <c r="D766" s="4"/>
      <c r="E766" s="4"/>
    </row>
    <row r="767" ht="15.75" customHeight="1">
      <c r="B767" s="4"/>
      <c r="C767" s="4"/>
      <c r="D767" s="4"/>
      <c r="E767" s="4"/>
    </row>
    <row r="768" ht="15.75" customHeight="1">
      <c r="B768" s="4"/>
      <c r="C768" s="4"/>
      <c r="D768" s="4"/>
      <c r="E768" s="4"/>
    </row>
    <row r="769" ht="15.75" customHeight="1">
      <c r="B769" s="4"/>
      <c r="C769" s="4"/>
      <c r="D769" s="4"/>
      <c r="E769" s="4"/>
    </row>
    <row r="770" ht="15.75" customHeight="1">
      <c r="B770" s="4"/>
      <c r="C770" s="4"/>
      <c r="D770" s="4"/>
      <c r="E770" s="4"/>
    </row>
    <row r="771" ht="15.75" customHeight="1">
      <c r="B771" s="4"/>
      <c r="C771" s="4"/>
      <c r="D771" s="4"/>
      <c r="E771" s="4"/>
    </row>
    <row r="772" ht="15.75" customHeight="1">
      <c r="B772" s="4"/>
      <c r="C772" s="4"/>
      <c r="D772" s="4"/>
      <c r="E772" s="4"/>
    </row>
    <row r="773" ht="15.75" customHeight="1">
      <c r="B773" s="4"/>
      <c r="C773" s="4"/>
      <c r="D773" s="4"/>
      <c r="E773" s="4"/>
    </row>
    <row r="774" ht="15.75" customHeight="1">
      <c r="B774" s="4"/>
      <c r="C774" s="4"/>
      <c r="D774" s="4"/>
      <c r="E774" s="4"/>
    </row>
    <row r="775" ht="15.75" customHeight="1">
      <c r="B775" s="4"/>
      <c r="C775" s="4"/>
      <c r="D775" s="4"/>
      <c r="E775" s="4"/>
    </row>
    <row r="776" ht="15.75" customHeight="1">
      <c r="B776" s="4"/>
      <c r="C776" s="4"/>
      <c r="D776" s="4"/>
      <c r="E776" s="4"/>
    </row>
    <row r="777" ht="15.75" customHeight="1">
      <c r="B777" s="4"/>
      <c r="C777" s="4"/>
      <c r="D777" s="4"/>
      <c r="E777" s="4"/>
    </row>
    <row r="778" ht="15.75" customHeight="1">
      <c r="B778" s="4"/>
      <c r="C778" s="4"/>
      <c r="D778" s="4"/>
      <c r="E778" s="4"/>
    </row>
    <row r="779" ht="15.75" customHeight="1">
      <c r="B779" s="4"/>
      <c r="C779" s="4"/>
      <c r="D779" s="4"/>
      <c r="E779" s="4"/>
    </row>
    <row r="780" ht="15.75" customHeight="1">
      <c r="B780" s="4"/>
      <c r="C780" s="4"/>
      <c r="D780" s="4"/>
      <c r="E780" s="4"/>
    </row>
    <row r="781" ht="15.75" customHeight="1">
      <c r="B781" s="4"/>
      <c r="C781" s="4"/>
      <c r="D781" s="4"/>
      <c r="E781" s="4"/>
    </row>
    <row r="782" ht="15.75" customHeight="1">
      <c r="B782" s="4"/>
      <c r="C782" s="4"/>
      <c r="D782" s="4"/>
      <c r="E782" s="4"/>
    </row>
    <row r="783" ht="15.75" customHeight="1">
      <c r="B783" s="4"/>
      <c r="C783" s="4"/>
      <c r="D783" s="4"/>
      <c r="E783" s="4"/>
    </row>
    <row r="784" ht="15.75" customHeight="1">
      <c r="B784" s="4"/>
      <c r="C784" s="4"/>
      <c r="D784" s="4"/>
      <c r="E784" s="4"/>
    </row>
    <row r="785" ht="15.75" customHeight="1">
      <c r="B785" s="4"/>
      <c r="C785" s="4"/>
      <c r="D785" s="4"/>
      <c r="E785" s="4"/>
    </row>
    <row r="786" ht="15.75" customHeight="1">
      <c r="B786" s="4"/>
      <c r="C786" s="4"/>
      <c r="D786" s="4"/>
      <c r="E786" s="4"/>
    </row>
    <row r="787" ht="15.75" customHeight="1">
      <c r="B787" s="4"/>
      <c r="C787" s="4"/>
      <c r="D787" s="4"/>
      <c r="E787" s="4"/>
    </row>
    <row r="788" ht="15.75" customHeight="1">
      <c r="B788" s="4"/>
      <c r="C788" s="4"/>
      <c r="D788" s="4"/>
      <c r="E788" s="4"/>
    </row>
    <row r="789" ht="15.75" customHeight="1">
      <c r="B789" s="4"/>
      <c r="C789" s="4"/>
      <c r="D789" s="4"/>
      <c r="E789" s="4"/>
    </row>
    <row r="790" ht="15.75" customHeight="1">
      <c r="B790" s="4"/>
      <c r="C790" s="4"/>
      <c r="D790" s="4"/>
      <c r="E790" s="4"/>
    </row>
    <row r="791" ht="15.75" customHeight="1">
      <c r="B791" s="4"/>
      <c r="C791" s="4"/>
      <c r="D791" s="4"/>
      <c r="E791" s="4"/>
    </row>
    <row r="792" ht="15.75" customHeight="1">
      <c r="B792" s="4"/>
      <c r="C792" s="4"/>
      <c r="D792" s="4"/>
      <c r="E792" s="4"/>
    </row>
    <row r="793" ht="15.75" customHeight="1">
      <c r="B793" s="4"/>
      <c r="C793" s="4"/>
      <c r="D793" s="4"/>
      <c r="E793" s="4"/>
    </row>
    <row r="794" ht="15.75" customHeight="1">
      <c r="B794" s="4"/>
      <c r="C794" s="4"/>
      <c r="D794" s="4"/>
      <c r="E794" s="4"/>
    </row>
    <row r="795" ht="15.75" customHeight="1">
      <c r="B795" s="4"/>
      <c r="C795" s="4"/>
      <c r="D795" s="4"/>
      <c r="E795" s="4"/>
    </row>
    <row r="796" ht="15.75" customHeight="1">
      <c r="B796" s="4"/>
      <c r="C796" s="4"/>
      <c r="D796" s="4"/>
      <c r="E796" s="4"/>
    </row>
    <row r="797" ht="15.75" customHeight="1">
      <c r="B797" s="4"/>
      <c r="C797" s="4"/>
      <c r="D797" s="4"/>
      <c r="E797" s="4"/>
    </row>
    <row r="798" ht="15.75" customHeight="1">
      <c r="B798" s="4"/>
      <c r="C798" s="4"/>
      <c r="D798" s="4"/>
      <c r="E798" s="4"/>
    </row>
    <row r="799" ht="15.75" customHeight="1">
      <c r="B799" s="4"/>
      <c r="C799" s="4"/>
      <c r="D799" s="4"/>
      <c r="E799" s="4"/>
    </row>
    <row r="800" ht="15.75" customHeight="1">
      <c r="B800" s="4"/>
      <c r="C800" s="4"/>
      <c r="D800" s="4"/>
      <c r="E800" s="4"/>
    </row>
    <row r="801" ht="15.75" customHeight="1">
      <c r="B801" s="4"/>
      <c r="C801" s="4"/>
      <c r="D801" s="4"/>
      <c r="E801" s="4"/>
    </row>
    <row r="802" ht="15.75" customHeight="1">
      <c r="B802" s="4"/>
      <c r="C802" s="4"/>
      <c r="D802" s="4"/>
      <c r="E802" s="4"/>
    </row>
    <row r="803" ht="15.75" customHeight="1">
      <c r="B803" s="4"/>
      <c r="C803" s="4"/>
      <c r="D803" s="4"/>
      <c r="E803" s="4"/>
    </row>
    <row r="804" ht="15.75" customHeight="1">
      <c r="B804" s="4"/>
      <c r="C804" s="4"/>
      <c r="D804" s="4"/>
      <c r="E804" s="4"/>
    </row>
    <row r="805" ht="15.75" customHeight="1">
      <c r="B805" s="4"/>
      <c r="C805" s="4"/>
      <c r="D805" s="4"/>
      <c r="E805" s="4"/>
    </row>
    <row r="806" ht="15.75" customHeight="1">
      <c r="B806" s="4"/>
      <c r="C806" s="4"/>
      <c r="D806" s="4"/>
      <c r="E806" s="4"/>
    </row>
    <row r="807" ht="15.75" customHeight="1">
      <c r="B807" s="4"/>
      <c r="C807" s="4"/>
      <c r="D807" s="4"/>
      <c r="E807" s="4"/>
    </row>
    <row r="808" ht="15.75" customHeight="1">
      <c r="B808" s="4"/>
      <c r="C808" s="4"/>
      <c r="D808" s="4"/>
      <c r="E808" s="4"/>
    </row>
    <row r="809" ht="15.75" customHeight="1">
      <c r="B809" s="4"/>
      <c r="C809" s="4"/>
      <c r="D809" s="4"/>
      <c r="E809" s="4"/>
    </row>
    <row r="810" ht="15.75" customHeight="1">
      <c r="B810" s="4"/>
      <c r="C810" s="4"/>
      <c r="D810" s="4"/>
      <c r="E810" s="4"/>
    </row>
    <row r="811" ht="15.75" customHeight="1">
      <c r="B811" s="4"/>
      <c r="C811" s="4"/>
      <c r="D811" s="4"/>
      <c r="E811" s="4"/>
    </row>
    <row r="812" ht="15.75" customHeight="1">
      <c r="B812" s="4"/>
      <c r="C812" s="4"/>
      <c r="D812" s="4"/>
      <c r="E812" s="4"/>
    </row>
    <row r="813" ht="15.75" customHeight="1">
      <c r="B813" s="4"/>
      <c r="C813" s="4"/>
      <c r="D813" s="4"/>
      <c r="E813" s="4"/>
    </row>
    <row r="814" ht="15.75" customHeight="1">
      <c r="B814" s="4"/>
      <c r="C814" s="4"/>
      <c r="D814" s="4"/>
      <c r="E814" s="4"/>
    </row>
    <row r="815" ht="15.75" customHeight="1">
      <c r="B815" s="4"/>
      <c r="C815" s="4"/>
      <c r="D815" s="4"/>
      <c r="E815" s="4"/>
    </row>
    <row r="816" ht="15.75" customHeight="1">
      <c r="B816" s="4"/>
      <c r="C816" s="4"/>
      <c r="D816" s="4"/>
      <c r="E816" s="4"/>
    </row>
    <row r="817" ht="15.75" customHeight="1">
      <c r="B817" s="4"/>
      <c r="C817" s="4"/>
      <c r="D817" s="4"/>
      <c r="E817" s="4"/>
    </row>
    <row r="818" ht="15.75" customHeight="1">
      <c r="B818" s="4"/>
      <c r="C818" s="4"/>
      <c r="D818" s="4"/>
      <c r="E818" s="4"/>
    </row>
    <row r="819" ht="15.75" customHeight="1">
      <c r="B819" s="4"/>
      <c r="C819" s="4"/>
      <c r="D819" s="4"/>
      <c r="E819" s="4"/>
    </row>
    <row r="820" ht="15.75" customHeight="1">
      <c r="B820" s="4"/>
      <c r="C820" s="4"/>
      <c r="D820" s="4"/>
      <c r="E820" s="4"/>
    </row>
    <row r="821" ht="15.75" customHeight="1">
      <c r="B821" s="4"/>
      <c r="C821" s="4"/>
      <c r="D821" s="4"/>
      <c r="E821" s="4"/>
    </row>
    <row r="822" ht="15.75" customHeight="1">
      <c r="B822" s="4"/>
      <c r="C822" s="4"/>
      <c r="D822" s="4"/>
      <c r="E822" s="4"/>
    </row>
    <row r="823" ht="15.75" customHeight="1">
      <c r="B823" s="4"/>
      <c r="C823" s="4"/>
      <c r="D823" s="4"/>
      <c r="E823" s="4"/>
    </row>
    <row r="824" ht="15.75" customHeight="1">
      <c r="B824" s="4"/>
      <c r="C824" s="4"/>
      <c r="D824" s="4"/>
      <c r="E824" s="4"/>
    </row>
    <row r="825" ht="15.75" customHeight="1">
      <c r="B825" s="4"/>
      <c r="C825" s="4"/>
      <c r="D825" s="4"/>
      <c r="E825" s="4"/>
    </row>
    <row r="826" ht="15.75" customHeight="1">
      <c r="B826" s="4"/>
      <c r="C826" s="4"/>
      <c r="D826" s="4"/>
      <c r="E826" s="4"/>
    </row>
    <row r="827" ht="15.75" customHeight="1">
      <c r="B827" s="4"/>
      <c r="C827" s="4"/>
      <c r="D827" s="4"/>
      <c r="E827" s="4"/>
    </row>
    <row r="828" ht="15.75" customHeight="1">
      <c r="B828" s="4"/>
      <c r="C828" s="4"/>
      <c r="D828" s="4"/>
      <c r="E828" s="4"/>
    </row>
    <row r="829" ht="15.75" customHeight="1">
      <c r="B829" s="4"/>
      <c r="C829" s="4"/>
      <c r="D829" s="4"/>
      <c r="E829" s="4"/>
    </row>
    <row r="830" ht="15.75" customHeight="1">
      <c r="B830" s="4"/>
      <c r="C830" s="4"/>
      <c r="D830" s="4"/>
      <c r="E830" s="4"/>
    </row>
    <row r="831" ht="15.75" customHeight="1">
      <c r="B831" s="4"/>
      <c r="C831" s="4"/>
      <c r="D831" s="4"/>
      <c r="E831" s="4"/>
    </row>
    <row r="832" ht="15.75" customHeight="1">
      <c r="B832" s="4"/>
      <c r="C832" s="4"/>
      <c r="D832" s="4"/>
      <c r="E832" s="4"/>
    </row>
    <row r="833" ht="15.75" customHeight="1">
      <c r="B833" s="4"/>
      <c r="C833" s="4"/>
      <c r="D833" s="4"/>
      <c r="E833" s="4"/>
    </row>
    <row r="834" ht="15.75" customHeight="1">
      <c r="B834" s="4"/>
      <c r="C834" s="4"/>
      <c r="D834" s="4"/>
      <c r="E834" s="4"/>
    </row>
    <row r="835" ht="15.75" customHeight="1">
      <c r="B835" s="4"/>
      <c r="C835" s="4"/>
      <c r="D835" s="4"/>
      <c r="E835" s="4"/>
    </row>
    <row r="836" ht="15.75" customHeight="1">
      <c r="B836" s="4"/>
      <c r="C836" s="4"/>
      <c r="D836" s="4"/>
      <c r="E836" s="4"/>
    </row>
    <row r="837" ht="15.75" customHeight="1">
      <c r="B837" s="4"/>
      <c r="C837" s="4"/>
      <c r="D837" s="4"/>
      <c r="E837" s="4"/>
    </row>
    <row r="838" ht="15.75" customHeight="1">
      <c r="B838" s="4"/>
      <c r="C838" s="4"/>
      <c r="D838" s="4"/>
      <c r="E838" s="4"/>
    </row>
    <row r="839" ht="15.75" customHeight="1">
      <c r="B839" s="4"/>
      <c r="C839" s="4"/>
      <c r="D839" s="4"/>
      <c r="E839" s="4"/>
    </row>
    <row r="840" ht="15.75" customHeight="1">
      <c r="B840" s="4"/>
      <c r="C840" s="4"/>
      <c r="D840" s="4"/>
      <c r="E840" s="4"/>
    </row>
    <row r="841" ht="15.75" customHeight="1">
      <c r="B841" s="4"/>
      <c r="C841" s="4"/>
      <c r="D841" s="4"/>
      <c r="E841" s="4"/>
    </row>
    <row r="842" ht="15.75" customHeight="1">
      <c r="B842" s="4"/>
      <c r="C842" s="4"/>
      <c r="D842" s="4"/>
      <c r="E842" s="4"/>
    </row>
    <row r="843" ht="15.75" customHeight="1">
      <c r="B843" s="4"/>
      <c r="C843" s="4"/>
      <c r="D843" s="4"/>
      <c r="E843" s="4"/>
    </row>
    <row r="844" ht="15.75" customHeight="1">
      <c r="B844" s="4"/>
      <c r="C844" s="4"/>
      <c r="D844" s="4"/>
      <c r="E844" s="4"/>
    </row>
    <row r="845" ht="15.75" customHeight="1">
      <c r="B845" s="4"/>
      <c r="C845" s="4"/>
      <c r="D845" s="4"/>
      <c r="E845" s="4"/>
    </row>
    <row r="846" ht="15.75" customHeight="1">
      <c r="B846" s="4"/>
      <c r="C846" s="4"/>
      <c r="D846" s="4"/>
      <c r="E846" s="4"/>
    </row>
    <row r="847" ht="15.75" customHeight="1">
      <c r="B847" s="4"/>
      <c r="C847" s="4"/>
      <c r="D847" s="4"/>
      <c r="E847" s="4"/>
    </row>
    <row r="848" ht="15.75" customHeight="1">
      <c r="B848" s="4"/>
      <c r="C848" s="4"/>
      <c r="D848" s="4"/>
      <c r="E848" s="4"/>
    </row>
    <row r="849" ht="15.75" customHeight="1">
      <c r="B849" s="4"/>
      <c r="C849" s="4"/>
      <c r="D849" s="4"/>
      <c r="E849" s="4"/>
    </row>
    <row r="850" ht="15.75" customHeight="1">
      <c r="B850" s="4"/>
      <c r="C850" s="4"/>
      <c r="D850" s="4"/>
      <c r="E850" s="4"/>
    </row>
    <row r="851" ht="15.75" customHeight="1">
      <c r="B851" s="4"/>
      <c r="C851" s="4"/>
      <c r="D851" s="4"/>
      <c r="E851" s="4"/>
    </row>
    <row r="852" ht="15.75" customHeight="1">
      <c r="B852" s="4"/>
      <c r="C852" s="4"/>
      <c r="D852" s="4"/>
      <c r="E852" s="4"/>
    </row>
    <row r="853" ht="15.75" customHeight="1">
      <c r="B853" s="4"/>
      <c r="C853" s="4"/>
      <c r="D853" s="4"/>
      <c r="E853" s="4"/>
    </row>
    <row r="854" ht="15.75" customHeight="1">
      <c r="B854" s="4"/>
      <c r="C854" s="4"/>
      <c r="D854" s="4"/>
      <c r="E854" s="4"/>
    </row>
    <row r="855" ht="15.75" customHeight="1">
      <c r="B855" s="4"/>
      <c r="C855" s="4"/>
      <c r="D855" s="4"/>
      <c r="E855" s="4"/>
    </row>
    <row r="856" ht="15.75" customHeight="1">
      <c r="B856" s="4"/>
      <c r="C856" s="4"/>
      <c r="D856" s="4"/>
      <c r="E856" s="4"/>
    </row>
    <row r="857" ht="15.75" customHeight="1">
      <c r="B857" s="4"/>
      <c r="C857" s="4"/>
      <c r="D857" s="4"/>
      <c r="E857" s="4"/>
    </row>
    <row r="858" ht="15.75" customHeight="1">
      <c r="B858" s="4"/>
      <c r="C858" s="4"/>
      <c r="D858" s="4"/>
      <c r="E858" s="4"/>
    </row>
    <row r="859" ht="15.75" customHeight="1">
      <c r="B859" s="4"/>
      <c r="C859" s="4"/>
      <c r="D859" s="4"/>
      <c r="E859" s="4"/>
    </row>
    <row r="860" ht="15.75" customHeight="1">
      <c r="B860" s="4"/>
      <c r="C860" s="4"/>
      <c r="D860" s="4"/>
      <c r="E860" s="4"/>
    </row>
    <row r="861" ht="15.75" customHeight="1">
      <c r="B861" s="4"/>
      <c r="C861" s="4"/>
      <c r="D861" s="4"/>
      <c r="E861" s="4"/>
    </row>
    <row r="862" ht="15.75" customHeight="1">
      <c r="B862" s="4"/>
      <c r="C862" s="4"/>
      <c r="D862" s="4"/>
      <c r="E862" s="4"/>
    </row>
    <row r="863" ht="15.75" customHeight="1">
      <c r="B863" s="4"/>
      <c r="C863" s="4"/>
      <c r="D863" s="4"/>
      <c r="E863" s="4"/>
    </row>
    <row r="864" ht="15.75" customHeight="1">
      <c r="B864" s="4"/>
      <c r="C864" s="4"/>
      <c r="D864" s="4"/>
      <c r="E864" s="4"/>
    </row>
    <row r="865" ht="15.75" customHeight="1">
      <c r="B865" s="4"/>
      <c r="C865" s="4"/>
      <c r="D865" s="4"/>
      <c r="E865" s="4"/>
    </row>
    <row r="866" ht="15.75" customHeight="1">
      <c r="B866" s="4"/>
      <c r="C866" s="4"/>
      <c r="D866" s="4"/>
      <c r="E866" s="4"/>
    </row>
    <row r="867" ht="15.75" customHeight="1">
      <c r="B867" s="4"/>
      <c r="C867" s="4"/>
      <c r="D867" s="4"/>
      <c r="E867" s="4"/>
    </row>
    <row r="868" ht="15.75" customHeight="1">
      <c r="B868" s="4"/>
      <c r="C868" s="4"/>
      <c r="D868" s="4"/>
      <c r="E868" s="4"/>
    </row>
    <row r="869" ht="15.75" customHeight="1">
      <c r="B869" s="4"/>
      <c r="C869" s="4"/>
      <c r="D869" s="4"/>
      <c r="E869" s="4"/>
    </row>
    <row r="870" ht="15.75" customHeight="1">
      <c r="B870" s="4"/>
      <c r="C870" s="4"/>
      <c r="D870" s="4"/>
      <c r="E870" s="4"/>
    </row>
    <row r="871" ht="15.75" customHeight="1">
      <c r="B871" s="4"/>
      <c r="C871" s="4"/>
      <c r="D871" s="4"/>
      <c r="E871" s="4"/>
    </row>
    <row r="872" ht="15.75" customHeight="1">
      <c r="B872" s="4"/>
      <c r="C872" s="4"/>
      <c r="D872" s="4"/>
      <c r="E872" s="4"/>
    </row>
    <row r="873" ht="15.75" customHeight="1">
      <c r="B873" s="4"/>
      <c r="C873" s="4"/>
      <c r="D873" s="4"/>
      <c r="E873" s="4"/>
    </row>
    <row r="874" ht="15.75" customHeight="1">
      <c r="B874" s="4"/>
      <c r="C874" s="4"/>
      <c r="D874" s="4"/>
      <c r="E874" s="4"/>
    </row>
    <row r="875" ht="15.75" customHeight="1">
      <c r="B875" s="4"/>
      <c r="C875" s="4"/>
      <c r="D875" s="4"/>
      <c r="E875" s="4"/>
    </row>
    <row r="876" ht="15.75" customHeight="1">
      <c r="B876" s="4"/>
      <c r="C876" s="4"/>
      <c r="D876" s="4"/>
      <c r="E876" s="4"/>
    </row>
    <row r="877" ht="15.75" customHeight="1">
      <c r="B877" s="4"/>
      <c r="C877" s="4"/>
      <c r="D877" s="4"/>
      <c r="E877" s="4"/>
    </row>
    <row r="878" ht="15.75" customHeight="1">
      <c r="B878" s="4"/>
      <c r="C878" s="4"/>
      <c r="D878" s="4"/>
      <c r="E878" s="4"/>
    </row>
    <row r="879" ht="15.75" customHeight="1">
      <c r="B879" s="4"/>
      <c r="C879" s="4"/>
      <c r="D879" s="4"/>
      <c r="E879" s="4"/>
    </row>
    <row r="880" ht="15.75" customHeight="1">
      <c r="B880" s="4"/>
      <c r="C880" s="4"/>
      <c r="D880" s="4"/>
      <c r="E880" s="4"/>
    </row>
    <row r="881" ht="15.75" customHeight="1">
      <c r="B881" s="4"/>
      <c r="C881" s="4"/>
      <c r="D881" s="4"/>
      <c r="E881" s="4"/>
    </row>
    <row r="882" ht="15.75" customHeight="1">
      <c r="B882" s="4"/>
      <c r="C882" s="4"/>
      <c r="D882" s="4"/>
      <c r="E882" s="4"/>
    </row>
    <row r="883" ht="15.75" customHeight="1">
      <c r="B883" s="4"/>
      <c r="C883" s="4"/>
      <c r="D883" s="4"/>
      <c r="E883" s="4"/>
    </row>
    <row r="884" ht="15.75" customHeight="1">
      <c r="B884" s="4"/>
      <c r="C884" s="4"/>
      <c r="D884" s="4"/>
      <c r="E884" s="4"/>
    </row>
    <row r="885" ht="15.75" customHeight="1">
      <c r="B885" s="4"/>
      <c r="C885" s="4"/>
      <c r="D885" s="4"/>
      <c r="E885" s="4"/>
    </row>
    <row r="886" ht="15.75" customHeight="1">
      <c r="B886" s="4"/>
      <c r="C886" s="4"/>
      <c r="D886" s="4"/>
      <c r="E886" s="4"/>
    </row>
    <row r="887" ht="15.75" customHeight="1">
      <c r="B887" s="4"/>
      <c r="C887" s="4"/>
      <c r="D887" s="4"/>
      <c r="E887" s="4"/>
    </row>
    <row r="888" ht="15.75" customHeight="1">
      <c r="B888" s="4"/>
      <c r="C888" s="4"/>
      <c r="D888" s="4"/>
      <c r="E888" s="4"/>
    </row>
    <row r="889" ht="15.75" customHeight="1">
      <c r="B889" s="4"/>
      <c r="C889" s="4"/>
      <c r="D889" s="4"/>
      <c r="E889" s="4"/>
    </row>
    <row r="890" ht="15.75" customHeight="1">
      <c r="B890" s="4"/>
      <c r="C890" s="4"/>
      <c r="D890" s="4"/>
      <c r="E890" s="4"/>
    </row>
    <row r="891" ht="15.75" customHeight="1">
      <c r="B891" s="4"/>
      <c r="C891" s="4"/>
      <c r="D891" s="4"/>
      <c r="E891" s="4"/>
    </row>
    <row r="892" ht="15.75" customHeight="1">
      <c r="B892" s="4"/>
      <c r="C892" s="4"/>
      <c r="D892" s="4"/>
      <c r="E892" s="4"/>
    </row>
    <row r="893" ht="15.75" customHeight="1">
      <c r="B893" s="4"/>
      <c r="C893" s="4"/>
      <c r="D893" s="4"/>
      <c r="E893" s="4"/>
    </row>
    <row r="894" ht="15.75" customHeight="1">
      <c r="B894" s="4"/>
      <c r="C894" s="4"/>
      <c r="D894" s="4"/>
      <c r="E894" s="4"/>
    </row>
    <row r="895" ht="15.75" customHeight="1">
      <c r="B895" s="4"/>
      <c r="C895" s="4"/>
      <c r="D895" s="4"/>
      <c r="E895" s="4"/>
    </row>
    <row r="896" ht="15.75" customHeight="1">
      <c r="B896" s="4"/>
      <c r="C896" s="4"/>
      <c r="D896" s="4"/>
      <c r="E896" s="4"/>
    </row>
    <row r="897" ht="15.75" customHeight="1">
      <c r="B897" s="4"/>
      <c r="C897" s="4"/>
      <c r="D897" s="4"/>
      <c r="E897" s="4"/>
    </row>
    <row r="898" ht="15.75" customHeight="1">
      <c r="B898" s="4"/>
      <c r="C898" s="4"/>
      <c r="D898" s="4"/>
      <c r="E898" s="4"/>
    </row>
    <row r="899" ht="15.75" customHeight="1">
      <c r="B899" s="4"/>
      <c r="C899" s="4"/>
      <c r="D899" s="4"/>
      <c r="E899" s="4"/>
    </row>
    <row r="900" ht="15.75" customHeight="1">
      <c r="B900" s="4"/>
      <c r="C900" s="4"/>
      <c r="D900" s="4"/>
      <c r="E900" s="4"/>
    </row>
    <row r="901" ht="15.75" customHeight="1">
      <c r="B901" s="4"/>
      <c r="C901" s="4"/>
      <c r="D901" s="4"/>
      <c r="E901" s="4"/>
    </row>
    <row r="902" ht="15.75" customHeight="1">
      <c r="B902" s="4"/>
      <c r="C902" s="4"/>
      <c r="D902" s="4"/>
      <c r="E902" s="4"/>
    </row>
    <row r="903" ht="15.75" customHeight="1">
      <c r="B903" s="4"/>
      <c r="C903" s="4"/>
      <c r="D903" s="4"/>
      <c r="E903" s="4"/>
    </row>
    <row r="904" ht="15.75" customHeight="1">
      <c r="B904" s="4"/>
      <c r="C904" s="4"/>
      <c r="D904" s="4"/>
      <c r="E904" s="4"/>
    </row>
    <row r="905" ht="15.75" customHeight="1">
      <c r="B905" s="4"/>
      <c r="C905" s="4"/>
      <c r="D905" s="4"/>
      <c r="E905" s="4"/>
    </row>
    <row r="906" ht="15.75" customHeight="1">
      <c r="B906" s="4"/>
      <c r="C906" s="4"/>
      <c r="D906" s="4"/>
      <c r="E906" s="4"/>
    </row>
    <row r="907" ht="15.75" customHeight="1">
      <c r="B907" s="4"/>
      <c r="C907" s="4"/>
      <c r="D907" s="4"/>
      <c r="E907" s="4"/>
    </row>
    <row r="908" ht="15.75" customHeight="1">
      <c r="B908" s="4"/>
      <c r="C908" s="4"/>
      <c r="D908" s="4"/>
      <c r="E908" s="4"/>
    </row>
    <row r="909" ht="15.75" customHeight="1">
      <c r="B909" s="4"/>
      <c r="C909" s="4"/>
      <c r="D909" s="4"/>
      <c r="E909" s="4"/>
    </row>
    <row r="910" ht="15.75" customHeight="1">
      <c r="B910" s="4"/>
      <c r="C910" s="4"/>
      <c r="D910" s="4"/>
      <c r="E910" s="4"/>
    </row>
    <row r="911" ht="15.75" customHeight="1">
      <c r="B911" s="4"/>
      <c r="C911" s="4"/>
      <c r="D911" s="4"/>
      <c r="E911" s="4"/>
    </row>
    <row r="912" ht="15.75" customHeight="1">
      <c r="B912" s="4"/>
      <c r="C912" s="4"/>
      <c r="D912" s="4"/>
      <c r="E912" s="4"/>
    </row>
    <row r="913" ht="15.75" customHeight="1">
      <c r="B913" s="4"/>
      <c r="C913" s="4"/>
      <c r="D913" s="4"/>
      <c r="E913" s="4"/>
    </row>
    <row r="914" ht="15.75" customHeight="1">
      <c r="B914" s="4"/>
      <c r="C914" s="4"/>
      <c r="D914" s="4"/>
      <c r="E914" s="4"/>
    </row>
    <row r="915" ht="15.75" customHeight="1">
      <c r="B915" s="4"/>
      <c r="C915" s="4"/>
      <c r="D915" s="4"/>
      <c r="E915" s="4"/>
    </row>
    <row r="916" ht="15.75" customHeight="1">
      <c r="B916" s="4"/>
      <c r="C916" s="4"/>
      <c r="D916" s="4"/>
      <c r="E916" s="4"/>
    </row>
    <row r="917" ht="15.75" customHeight="1">
      <c r="B917" s="4"/>
      <c r="C917" s="4"/>
      <c r="D917" s="4"/>
      <c r="E917" s="4"/>
    </row>
    <row r="918" ht="15.75" customHeight="1">
      <c r="B918" s="4"/>
      <c r="C918" s="4"/>
      <c r="D918" s="4"/>
      <c r="E918" s="4"/>
    </row>
    <row r="919" ht="15.75" customHeight="1">
      <c r="B919" s="4"/>
      <c r="C919" s="4"/>
      <c r="D919" s="4"/>
      <c r="E919" s="4"/>
    </row>
    <row r="920" ht="15.75" customHeight="1">
      <c r="B920" s="4"/>
      <c r="C920" s="4"/>
      <c r="D920" s="4"/>
      <c r="E920" s="4"/>
    </row>
    <row r="921" ht="15.75" customHeight="1">
      <c r="B921" s="4"/>
      <c r="C921" s="4"/>
      <c r="D921" s="4"/>
      <c r="E921" s="4"/>
    </row>
    <row r="922" ht="15.75" customHeight="1">
      <c r="B922" s="4"/>
      <c r="C922" s="4"/>
      <c r="D922" s="4"/>
      <c r="E922" s="4"/>
    </row>
    <row r="923" ht="15.75" customHeight="1">
      <c r="B923" s="4"/>
      <c r="C923" s="4"/>
      <c r="D923" s="4"/>
      <c r="E923" s="4"/>
    </row>
    <row r="924" ht="15.75" customHeight="1">
      <c r="B924" s="4"/>
      <c r="C924" s="4"/>
      <c r="D924" s="4"/>
      <c r="E924" s="4"/>
    </row>
    <row r="925" ht="15.75" customHeight="1">
      <c r="B925" s="4"/>
      <c r="C925" s="4"/>
      <c r="D925" s="4"/>
      <c r="E925" s="4"/>
    </row>
    <row r="926" ht="15.75" customHeight="1">
      <c r="B926" s="4"/>
      <c r="C926" s="4"/>
      <c r="D926" s="4"/>
      <c r="E926" s="4"/>
    </row>
    <row r="927" ht="15.75" customHeight="1">
      <c r="B927" s="4"/>
      <c r="C927" s="4"/>
      <c r="D927" s="4"/>
      <c r="E927" s="4"/>
    </row>
    <row r="928" ht="15.75" customHeight="1">
      <c r="B928" s="4"/>
      <c r="C928" s="4"/>
      <c r="D928" s="4"/>
      <c r="E928" s="4"/>
    </row>
    <row r="929" ht="15.75" customHeight="1">
      <c r="B929" s="4"/>
      <c r="C929" s="4"/>
      <c r="D929" s="4"/>
      <c r="E929" s="4"/>
    </row>
    <row r="930" ht="15.75" customHeight="1">
      <c r="B930" s="4"/>
      <c r="C930" s="4"/>
      <c r="D930" s="4"/>
      <c r="E930" s="4"/>
    </row>
    <row r="931" ht="15.75" customHeight="1">
      <c r="B931" s="4"/>
      <c r="C931" s="4"/>
      <c r="D931" s="4"/>
      <c r="E931" s="4"/>
    </row>
    <row r="932" ht="15.75" customHeight="1">
      <c r="B932" s="4"/>
      <c r="C932" s="4"/>
      <c r="D932" s="4"/>
      <c r="E932" s="4"/>
    </row>
    <row r="933" ht="15.75" customHeight="1">
      <c r="B933" s="4"/>
      <c r="C933" s="4"/>
      <c r="D933" s="4"/>
      <c r="E933" s="4"/>
    </row>
    <row r="934" ht="15.75" customHeight="1">
      <c r="B934" s="4"/>
      <c r="C934" s="4"/>
      <c r="D934" s="4"/>
      <c r="E934" s="4"/>
    </row>
    <row r="935" ht="15.75" customHeight="1">
      <c r="B935" s="4"/>
      <c r="C935" s="4"/>
      <c r="D935" s="4"/>
      <c r="E935" s="4"/>
    </row>
    <row r="936" ht="15.75" customHeight="1">
      <c r="B936" s="4"/>
      <c r="C936" s="4"/>
      <c r="D936" s="4"/>
      <c r="E936" s="4"/>
    </row>
    <row r="937" ht="15.75" customHeight="1">
      <c r="B937" s="4"/>
      <c r="C937" s="4"/>
      <c r="D937" s="4"/>
      <c r="E937" s="4"/>
    </row>
    <row r="938" ht="15.75" customHeight="1">
      <c r="B938" s="4"/>
      <c r="C938" s="4"/>
      <c r="D938" s="4"/>
      <c r="E938" s="4"/>
    </row>
    <row r="939" ht="15.75" customHeight="1">
      <c r="B939" s="4"/>
      <c r="C939" s="4"/>
      <c r="D939" s="4"/>
      <c r="E939" s="4"/>
    </row>
    <row r="940" ht="15.75" customHeight="1">
      <c r="B940" s="4"/>
      <c r="C940" s="4"/>
      <c r="D940" s="4"/>
      <c r="E940" s="4"/>
    </row>
    <row r="941" ht="15.75" customHeight="1">
      <c r="B941" s="4"/>
      <c r="C941" s="4"/>
      <c r="D941" s="4"/>
      <c r="E941" s="4"/>
    </row>
    <row r="942" ht="15.75" customHeight="1">
      <c r="B942" s="4"/>
      <c r="C942" s="4"/>
      <c r="D942" s="4"/>
      <c r="E942" s="4"/>
    </row>
    <row r="943" ht="15.75" customHeight="1">
      <c r="B943" s="4"/>
      <c r="C943" s="4"/>
      <c r="D943" s="4"/>
      <c r="E943" s="4"/>
    </row>
    <row r="944" ht="15.75" customHeight="1">
      <c r="B944" s="4"/>
      <c r="C944" s="4"/>
      <c r="D944" s="4"/>
      <c r="E944" s="4"/>
    </row>
    <row r="945" ht="15.75" customHeight="1">
      <c r="B945" s="4"/>
      <c r="C945" s="4"/>
      <c r="D945" s="4"/>
      <c r="E945" s="4"/>
    </row>
    <row r="946" ht="15.75" customHeight="1">
      <c r="B946" s="4"/>
      <c r="C946" s="4"/>
      <c r="D946" s="4"/>
      <c r="E946" s="4"/>
    </row>
    <row r="947" ht="15.75" customHeight="1">
      <c r="B947" s="4"/>
      <c r="C947" s="4"/>
      <c r="D947" s="4"/>
      <c r="E947" s="4"/>
    </row>
    <row r="948" ht="15.75" customHeight="1">
      <c r="B948" s="4"/>
      <c r="C948" s="4"/>
      <c r="D948" s="4"/>
      <c r="E948" s="4"/>
    </row>
    <row r="949" ht="15.75" customHeight="1">
      <c r="B949" s="4"/>
      <c r="C949" s="4"/>
      <c r="D949" s="4"/>
      <c r="E949" s="4"/>
    </row>
    <row r="950" ht="15.75" customHeight="1">
      <c r="B950" s="4"/>
      <c r="C950" s="4"/>
      <c r="D950" s="4"/>
      <c r="E950" s="4"/>
    </row>
    <row r="951" ht="15.75" customHeight="1">
      <c r="B951" s="4"/>
      <c r="C951" s="4"/>
      <c r="D951" s="4"/>
      <c r="E951" s="4"/>
    </row>
    <row r="952" ht="15.75" customHeight="1">
      <c r="B952" s="4"/>
      <c r="C952" s="4"/>
      <c r="D952" s="4"/>
      <c r="E952" s="4"/>
    </row>
    <row r="953" ht="15.75" customHeight="1">
      <c r="B953" s="4"/>
      <c r="C953" s="4"/>
      <c r="D953" s="4"/>
      <c r="E953" s="4"/>
    </row>
    <row r="954" ht="15.75" customHeight="1">
      <c r="B954" s="4"/>
      <c r="C954" s="4"/>
      <c r="D954" s="4"/>
      <c r="E954" s="4"/>
    </row>
    <row r="955" ht="15.75" customHeight="1">
      <c r="B955" s="4"/>
      <c r="C955" s="4"/>
      <c r="D955" s="4"/>
      <c r="E955" s="4"/>
    </row>
    <row r="956" ht="15.75" customHeight="1">
      <c r="B956" s="4"/>
      <c r="C956" s="4"/>
      <c r="D956" s="4"/>
      <c r="E956" s="4"/>
    </row>
    <row r="957" ht="15.75" customHeight="1">
      <c r="B957" s="4"/>
      <c r="C957" s="4"/>
      <c r="D957" s="4"/>
      <c r="E957" s="4"/>
    </row>
    <row r="958" ht="15.75" customHeight="1">
      <c r="B958" s="4"/>
      <c r="C958" s="4"/>
      <c r="D958" s="4"/>
      <c r="E958" s="4"/>
    </row>
    <row r="959" ht="15.75" customHeight="1">
      <c r="B959" s="4"/>
      <c r="C959" s="4"/>
      <c r="D959" s="4"/>
      <c r="E959" s="4"/>
    </row>
    <row r="960" ht="15.75" customHeight="1">
      <c r="B960" s="4"/>
      <c r="C960" s="4"/>
      <c r="D960" s="4"/>
      <c r="E960" s="4"/>
    </row>
    <row r="961" ht="15.75" customHeight="1">
      <c r="B961" s="4"/>
      <c r="C961" s="4"/>
      <c r="D961" s="4"/>
      <c r="E961" s="4"/>
    </row>
    <row r="962" ht="15.75" customHeight="1">
      <c r="B962" s="4"/>
      <c r="C962" s="4"/>
      <c r="D962" s="4"/>
      <c r="E962" s="4"/>
    </row>
    <row r="963" ht="15.75" customHeight="1">
      <c r="B963" s="4"/>
      <c r="C963" s="4"/>
      <c r="D963" s="4"/>
      <c r="E963" s="4"/>
    </row>
    <row r="964" ht="15.75" customHeight="1">
      <c r="B964" s="4"/>
      <c r="C964" s="4"/>
      <c r="D964" s="4"/>
      <c r="E964" s="4"/>
    </row>
    <row r="965" ht="15.75" customHeight="1">
      <c r="B965" s="4"/>
      <c r="C965" s="4"/>
      <c r="D965" s="4"/>
      <c r="E965" s="4"/>
    </row>
    <row r="966" ht="15.75" customHeight="1">
      <c r="B966" s="4"/>
      <c r="C966" s="4"/>
      <c r="D966" s="4"/>
      <c r="E966" s="4"/>
    </row>
    <row r="967" ht="15.75" customHeight="1">
      <c r="B967" s="4"/>
      <c r="C967" s="4"/>
      <c r="D967" s="4"/>
      <c r="E967" s="4"/>
    </row>
    <row r="968" ht="15.75" customHeight="1">
      <c r="B968" s="4"/>
      <c r="C968" s="4"/>
      <c r="D968" s="4"/>
      <c r="E968" s="4"/>
    </row>
    <row r="969" ht="15.75" customHeight="1">
      <c r="B969" s="4"/>
      <c r="C969" s="4"/>
      <c r="D969" s="4"/>
      <c r="E969" s="4"/>
    </row>
    <row r="970" ht="15.75" customHeight="1">
      <c r="B970" s="4"/>
      <c r="C970" s="4"/>
      <c r="D970" s="4"/>
      <c r="E970" s="4"/>
    </row>
    <row r="971" ht="15.75" customHeight="1">
      <c r="B971" s="4"/>
      <c r="C971" s="4"/>
      <c r="D971" s="4"/>
      <c r="E971" s="4"/>
    </row>
    <row r="972" ht="15.75" customHeight="1">
      <c r="B972" s="4"/>
      <c r="C972" s="4"/>
      <c r="D972" s="4"/>
      <c r="E972" s="4"/>
    </row>
    <row r="973" ht="15.75" customHeight="1">
      <c r="B973" s="4"/>
      <c r="C973" s="4"/>
      <c r="D973" s="4"/>
      <c r="E973" s="4"/>
    </row>
    <row r="974" ht="15.75" customHeight="1">
      <c r="B974" s="4"/>
      <c r="C974" s="4"/>
      <c r="D974" s="4"/>
      <c r="E974" s="4"/>
    </row>
    <row r="975" ht="15.75" customHeight="1">
      <c r="B975" s="4"/>
      <c r="C975" s="4"/>
      <c r="D975" s="4"/>
      <c r="E975" s="4"/>
    </row>
    <row r="976" ht="15.75" customHeight="1">
      <c r="B976" s="4"/>
      <c r="C976" s="4"/>
      <c r="D976" s="4"/>
      <c r="E976" s="4"/>
    </row>
    <row r="977" ht="15.75" customHeight="1">
      <c r="B977" s="4"/>
      <c r="C977" s="4"/>
      <c r="D977" s="4"/>
      <c r="E977" s="4"/>
    </row>
    <row r="978" ht="15.75" customHeight="1">
      <c r="B978" s="4"/>
      <c r="C978" s="4"/>
      <c r="D978" s="4"/>
      <c r="E978" s="4"/>
    </row>
    <row r="979" ht="15.75" customHeight="1">
      <c r="B979" s="4"/>
      <c r="C979" s="4"/>
      <c r="D979" s="4"/>
      <c r="E979" s="4"/>
    </row>
    <row r="980" ht="15.75" customHeight="1">
      <c r="B980" s="4"/>
      <c r="C980" s="4"/>
      <c r="D980" s="4"/>
      <c r="E980" s="4"/>
    </row>
    <row r="981" ht="15.75" customHeight="1">
      <c r="B981" s="4"/>
      <c r="C981" s="4"/>
      <c r="D981" s="4"/>
      <c r="E981" s="4"/>
    </row>
    <row r="982" ht="15.75" customHeight="1">
      <c r="B982" s="4"/>
      <c r="C982" s="4"/>
      <c r="D982" s="4"/>
      <c r="E982" s="4"/>
    </row>
    <row r="983" ht="15.75" customHeight="1">
      <c r="B983" s="4"/>
      <c r="C983" s="4"/>
      <c r="D983" s="4"/>
      <c r="E983" s="4"/>
    </row>
    <row r="984" ht="15.75" customHeight="1">
      <c r="B984" s="4"/>
      <c r="C984" s="4"/>
      <c r="D984" s="4"/>
      <c r="E984" s="4"/>
    </row>
    <row r="985" ht="15.75" customHeight="1">
      <c r="B985" s="4"/>
      <c r="C985" s="4"/>
      <c r="D985" s="4"/>
      <c r="E985" s="4"/>
    </row>
    <row r="986" ht="15.75" customHeight="1">
      <c r="B986" s="4"/>
      <c r="C986" s="4"/>
      <c r="D986" s="4"/>
      <c r="E986" s="4"/>
    </row>
    <row r="987" ht="15.75" customHeight="1">
      <c r="B987" s="4"/>
      <c r="C987" s="4"/>
      <c r="D987" s="4"/>
      <c r="E987" s="4"/>
    </row>
    <row r="988" ht="15.75" customHeight="1">
      <c r="B988" s="4"/>
      <c r="C988" s="4"/>
      <c r="D988" s="4"/>
      <c r="E988" s="4"/>
    </row>
    <row r="989" ht="15.75" customHeight="1">
      <c r="B989" s="4"/>
      <c r="C989" s="4"/>
      <c r="D989" s="4"/>
      <c r="E989" s="4"/>
    </row>
    <row r="990" ht="15.75" customHeight="1">
      <c r="B990" s="4"/>
      <c r="C990" s="4"/>
      <c r="D990" s="4"/>
      <c r="E990" s="4"/>
    </row>
    <row r="991" ht="15.75" customHeight="1">
      <c r="B991" s="4"/>
      <c r="C991" s="4"/>
      <c r="D991" s="4"/>
      <c r="E991" s="4"/>
    </row>
    <row r="992" ht="15.75" customHeight="1">
      <c r="B992" s="4"/>
      <c r="C992" s="4"/>
      <c r="D992" s="4"/>
      <c r="E992" s="4"/>
    </row>
    <row r="993" ht="15.75" customHeight="1">
      <c r="B993" s="4"/>
      <c r="C993" s="4"/>
      <c r="D993" s="4"/>
      <c r="E993" s="4"/>
    </row>
    <row r="994" ht="15.75" customHeight="1">
      <c r="B994" s="4"/>
      <c r="C994" s="4"/>
      <c r="D994" s="4"/>
      <c r="E994" s="4"/>
    </row>
    <row r="995" ht="15.75" customHeight="1">
      <c r="B995" s="4"/>
      <c r="C995" s="4"/>
      <c r="D995" s="4"/>
      <c r="E995" s="4"/>
    </row>
    <row r="996" ht="15.75" customHeight="1">
      <c r="B996" s="4"/>
      <c r="C996" s="4"/>
      <c r="D996" s="4"/>
      <c r="E996" s="4"/>
    </row>
    <row r="997" ht="15.75" customHeight="1">
      <c r="B997" s="4"/>
      <c r="C997" s="4"/>
      <c r="D997" s="4"/>
      <c r="E997" s="4"/>
    </row>
    <row r="998" ht="15.75" customHeight="1">
      <c r="B998" s="4"/>
      <c r="C998" s="4"/>
      <c r="D998" s="4"/>
      <c r="E998" s="4"/>
    </row>
    <row r="999" ht="15.75" customHeight="1">
      <c r="B999" s="4"/>
      <c r="C999" s="4"/>
      <c r="D999" s="4"/>
      <c r="E999" s="4"/>
    </row>
    <row r="1000" ht="15.75" customHeight="1">
      <c r="B1000" s="4"/>
      <c r="C1000" s="4"/>
      <c r="D1000" s="4"/>
      <c r="E1000" s="4"/>
    </row>
  </sheetData>
  <mergeCells count="14">
    <mergeCell ref="F14:F23"/>
    <mergeCell ref="F25:F34"/>
    <mergeCell ref="F36:F45"/>
    <mergeCell ref="F47:F56"/>
    <mergeCell ref="F58:F67"/>
    <mergeCell ref="F69:F78"/>
    <mergeCell ref="F80:F89"/>
    <mergeCell ref="A1:A2"/>
    <mergeCell ref="B1:B2"/>
    <mergeCell ref="C1:C2"/>
    <mergeCell ref="D1:D2"/>
    <mergeCell ref="E1:E2"/>
    <mergeCell ref="F1:F2"/>
    <mergeCell ref="F3:F1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4.0"/>
    <col customWidth="1" min="3" max="3" width="21.29"/>
    <col customWidth="1" min="4" max="4" width="22.43"/>
    <col customWidth="1" min="5" max="5" width="18.0"/>
    <col customWidth="1" min="6" max="6" width="14.0"/>
  </cols>
  <sheetData>
    <row r="1" ht="36.0" customHeight="1">
      <c r="A1" s="150" t="s">
        <v>631</v>
      </c>
      <c r="B1" s="2"/>
      <c r="C1" s="2"/>
      <c r="D1" s="2"/>
      <c r="E1" s="2"/>
      <c r="F1" s="15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152" t="s">
        <v>632</v>
      </c>
      <c r="B2" s="2"/>
      <c r="C2" s="2"/>
      <c r="D2" s="2"/>
      <c r="E2" s="2"/>
      <c r="F2" s="15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153" t="s">
        <v>633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154" t="s">
        <v>634</v>
      </c>
      <c r="B4" s="154" t="s">
        <v>622</v>
      </c>
      <c r="C4" s="154" t="s">
        <v>635</v>
      </c>
      <c r="D4" s="154" t="s">
        <v>636</v>
      </c>
      <c r="E4" s="154" t="s">
        <v>637</v>
      </c>
      <c r="F4" s="154" t="s">
        <v>638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55">
        <v>1.0</v>
      </c>
      <c r="B5" s="156" t="str">
        <f t="array" ref="B5">IFERROR(INDEX('Student Tracker'!$B$7:$B$176,MATCH($E5,'Student Tracker'!$Q$7:$Q$176,0)),"")</f>
        <v>26PGDM001</v>
      </c>
      <c r="C5" s="157" t="str">
        <f t="array" ref="C5">IFERROR(INDEX('Student Tracker'!$C$7:$C$176,MATCH($E5,'Student Tracker'!$Q$7:$Q$176,0)),"")</f>
        <v>28-Aadya.Shreysee@fiib.edu.in</v>
      </c>
      <c r="D5" s="156" t="str">
        <f t="array" ref="D5">IFERROR(INDEX('Student Tracker'!$F$7:$F$176,MATCH($E5,'Student Tracker'!$Q$7:$Q$176,0)),"")</f>
        <v/>
      </c>
      <c r="E5" s="158">
        <f>IFERROR(LARGE('Student Tracker'!$Q$7:$Q$176,1),"")</f>
        <v>0</v>
      </c>
      <c r="F5" s="159">
        <f t="array" ref="F5">IFERROR(INDEX('Student Tracker'!$R$7:$R$176,MATCH($E5,'Student Tracker'!$Q$7:$Q$176,0)),"")</f>
        <v>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55">
        <v>2.0</v>
      </c>
      <c r="B6" s="156" t="str">
        <f t="array" ref="B6">IFERROR(INDEX('Student Tracker'!$B$7:$B$176,MATCH($E6,'Student Tracker'!$Q$7:$Q$176,0)),"")</f>
        <v>26PGDM001</v>
      </c>
      <c r="C6" s="157" t="str">
        <f t="array" ref="C6">IFERROR(INDEX('Student Tracker'!$C$7:$C$176,MATCH($E6,'Student Tracker'!$Q$7:$Q$176,0)),"")</f>
        <v>28-Aadya.Shreysee@fiib.edu.in</v>
      </c>
      <c r="D6" s="156" t="str">
        <f t="array" ref="D6">IFERROR(INDEX('Student Tracker'!$F$7:$F$176,MATCH($E6,'Student Tracker'!$Q$7:$Q$176,0)),"")</f>
        <v/>
      </c>
      <c r="E6" s="160">
        <f>IFERROR(LARGE('Student Tracker'!$Q$7:$Q$176,2),"")</f>
        <v>0</v>
      </c>
      <c r="F6" s="159">
        <f t="array" ref="F6">IFERROR(INDEX('Student Tracker'!$R$7:$R$176,MATCH($E6,'Student Tracker'!$Q$7:$Q$176,0)),"")</f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55">
        <v>3.0</v>
      </c>
      <c r="B7" s="156" t="str">
        <f t="array" ref="B7">IFERROR(INDEX('Student Tracker'!$B$7:$B$176,MATCH($E7,'Student Tracker'!$Q$7:$Q$176,0)),"")</f>
        <v>26PGDM001</v>
      </c>
      <c r="C7" s="157" t="str">
        <f t="array" ref="C7">IFERROR(INDEX('Student Tracker'!$C$7:$C$176,MATCH($E7,'Student Tracker'!$Q$7:$Q$176,0)),"")</f>
        <v>28-Aadya.Shreysee@fiib.edu.in</v>
      </c>
      <c r="D7" s="156" t="str">
        <f t="array" ref="D7">IFERROR(INDEX('Student Tracker'!$F$7:$F$176,MATCH($E7,'Student Tracker'!$Q$7:$Q$176,0)),"")</f>
        <v/>
      </c>
      <c r="E7" s="160">
        <f>IFERROR(LARGE('Student Tracker'!$Q$7:$Q$176,3),"")</f>
        <v>0</v>
      </c>
      <c r="F7" s="159">
        <f t="array" ref="F7">IFERROR(INDEX('Student Tracker'!$R$7:$R$176,MATCH($E7,'Student Tracker'!$Q$7:$Q$176,0)),"")</f>
        <v>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55">
        <v>4.0</v>
      </c>
      <c r="B8" s="156" t="str">
        <f t="array" ref="B8">IFERROR(INDEX('Student Tracker'!$B$7:$B$176,MATCH($E8,'Student Tracker'!$Q$7:$Q$176,0)),"")</f>
        <v>26PGDM001</v>
      </c>
      <c r="C8" s="157" t="str">
        <f t="array" ref="C8">IFERROR(INDEX('Student Tracker'!$C$7:$C$176,MATCH($E8,'Student Tracker'!$Q$7:$Q$176,0)),"")</f>
        <v>28-Aadya.Shreysee@fiib.edu.in</v>
      </c>
      <c r="D8" s="156" t="str">
        <f t="array" ref="D8">IFERROR(INDEX('Student Tracker'!$F$7:$F$176,MATCH($E8,'Student Tracker'!$Q$7:$Q$176,0)),"")</f>
        <v/>
      </c>
      <c r="E8" s="160">
        <f>IFERROR(LARGE('Student Tracker'!$Q$7:$Q$176,4),"")</f>
        <v>0</v>
      </c>
      <c r="F8" s="159">
        <f t="array" ref="F8">IFERROR(INDEX('Student Tracker'!$R$7:$R$176,MATCH($E8,'Student Tracker'!$Q$7:$Q$176,0)),"")</f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55">
        <v>5.0</v>
      </c>
      <c r="B9" s="156" t="str">
        <f t="array" ref="B9">IFERROR(INDEX('Student Tracker'!$B$7:$B$176,MATCH($E9,'Student Tracker'!$Q$7:$Q$176,0)),"")</f>
        <v>26PGDM001</v>
      </c>
      <c r="C9" s="157" t="str">
        <f t="array" ref="C9">IFERROR(INDEX('Student Tracker'!$C$7:$C$176,MATCH($E9,'Student Tracker'!$Q$7:$Q$176,0)),"")</f>
        <v>28-Aadya.Shreysee@fiib.edu.in</v>
      </c>
      <c r="D9" s="156" t="str">
        <f t="array" ref="D9">IFERROR(INDEX('Student Tracker'!$F$7:$F$176,MATCH($E9,'Student Tracker'!$Q$7:$Q$176,0)),"")</f>
        <v/>
      </c>
      <c r="E9" s="160">
        <f>IFERROR(LARGE('Student Tracker'!$Q$7:$Q$176,5),"")</f>
        <v>0</v>
      </c>
      <c r="F9" s="159">
        <f t="array" ref="F9">IFERROR(INDEX('Student Tracker'!$R$7:$R$176,MATCH($E9,'Student Tracker'!$Q$7:$Q$176,0)),"")</f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55">
        <v>6.0</v>
      </c>
      <c r="B10" s="156" t="str">
        <f t="array" ref="B10">IFERROR(INDEX('Student Tracker'!$B$7:$B$176,MATCH($E10,'Student Tracker'!$Q$7:$Q$176,0)),"")</f>
        <v>26PGDM001</v>
      </c>
      <c r="C10" s="157" t="str">
        <f t="array" ref="C10">IFERROR(INDEX('Student Tracker'!$C$7:$C$176,MATCH($E10,'Student Tracker'!$Q$7:$Q$176,0)),"")</f>
        <v>28-Aadya.Shreysee@fiib.edu.in</v>
      </c>
      <c r="D10" s="156" t="str">
        <f t="array" ref="D10">IFERROR(INDEX('Student Tracker'!$F$7:$F$176,MATCH($E10,'Student Tracker'!$Q$7:$Q$176,0)),"")</f>
        <v/>
      </c>
      <c r="E10" s="160">
        <f>IFERROR(LARGE('Student Tracker'!$Q$7:$Q$176,6),"")</f>
        <v>0</v>
      </c>
      <c r="F10" s="159">
        <f t="array" ref="F10">IFERROR(INDEX('Student Tracker'!$R$7:$R$176,MATCH($E10,'Student Tracker'!$Q$7:$Q$176,0)),"")</f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55">
        <v>7.0</v>
      </c>
      <c r="B11" s="156" t="str">
        <f t="array" ref="B11">IFERROR(INDEX('Student Tracker'!$B$7:$B$176,MATCH($E11,'Student Tracker'!$Q$7:$Q$176,0)),"")</f>
        <v>26PGDM001</v>
      </c>
      <c r="C11" s="157" t="str">
        <f t="array" ref="C11">IFERROR(INDEX('Student Tracker'!$C$7:$C$176,MATCH($E11,'Student Tracker'!$Q$7:$Q$176,0)),"")</f>
        <v>28-Aadya.Shreysee@fiib.edu.in</v>
      </c>
      <c r="D11" s="156" t="str">
        <f t="array" ref="D11">IFERROR(INDEX('Student Tracker'!$F$7:$F$176,MATCH($E11,'Student Tracker'!$Q$7:$Q$176,0)),"")</f>
        <v/>
      </c>
      <c r="E11" s="160">
        <f>IFERROR(LARGE('Student Tracker'!$Q$7:$Q$176,7),"")</f>
        <v>0</v>
      </c>
      <c r="F11" s="159">
        <f t="array" ref="F11">IFERROR(INDEX('Student Tracker'!$R$7:$R$176,MATCH($E11,'Student Tracker'!$Q$7:$Q$176,0)),"")</f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55">
        <v>8.0</v>
      </c>
      <c r="B12" s="156" t="str">
        <f t="array" ref="B12">IFERROR(INDEX('Student Tracker'!$B$7:$B$176,MATCH($E12,'Student Tracker'!$Q$7:$Q$176,0)),"")</f>
        <v>26PGDM001</v>
      </c>
      <c r="C12" s="157" t="str">
        <f t="array" ref="C12">IFERROR(INDEX('Student Tracker'!$C$7:$C$176,MATCH($E12,'Student Tracker'!$Q$7:$Q$176,0)),"")</f>
        <v>28-Aadya.Shreysee@fiib.edu.in</v>
      </c>
      <c r="D12" s="156" t="str">
        <f t="array" ref="D12">IFERROR(INDEX('Student Tracker'!$F$7:$F$176,MATCH($E12,'Student Tracker'!$Q$7:$Q$176,0)),"")</f>
        <v/>
      </c>
      <c r="E12" s="160">
        <f>IFERROR(LARGE('Student Tracker'!$Q$7:$Q$176,8),"")</f>
        <v>0</v>
      </c>
      <c r="F12" s="159">
        <f t="array" ref="F12">IFERROR(INDEX('Student Tracker'!$R$7:$R$176,MATCH($E12,'Student Tracker'!$Q$7:$Q$176,0)),"")</f>
        <v>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155">
        <v>9.0</v>
      </c>
      <c r="B13" s="156" t="str">
        <f t="array" ref="B13">IFERROR(INDEX('Student Tracker'!$B$7:$B$176,MATCH($E13,'Student Tracker'!$Q$7:$Q$176,0)),"")</f>
        <v>26PGDM001</v>
      </c>
      <c r="C13" s="157" t="str">
        <f t="array" ref="C13">IFERROR(INDEX('Student Tracker'!$C$7:$C$176,MATCH($E13,'Student Tracker'!$Q$7:$Q$176,0)),"")</f>
        <v>28-Aadya.Shreysee@fiib.edu.in</v>
      </c>
      <c r="D13" s="156" t="str">
        <f t="array" ref="D13">IFERROR(INDEX('Student Tracker'!$F$7:$F$176,MATCH($E13,'Student Tracker'!$Q$7:$Q$176,0)),"")</f>
        <v/>
      </c>
      <c r="E13" s="160">
        <f>IFERROR(LARGE('Student Tracker'!$Q$7:$Q$176,9),"")</f>
        <v>0</v>
      </c>
      <c r="F13" s="159">
        <f t="array" ref="F13">IFERROR(INDEX('Student Tracker'!$R$7:$R$176,MATCH($E13,'Student Tracker'!$Q$7:$Q$176,0)),"")</f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55">
        <v>10.0</v>
      </c>
      <c r="B14" s="156" t="str">
        <f t="array" ref="B14">IFERROR(INDEX('Student Tracker'!$B$7:$B$176,MATCH($E14,'Student Tracker'!$Q$7:$Q$176,0)),"")</f>
        <v>26PGDM001</v>
      </c>
      <c r="C14" s="157" t="str">
        <f t="array" ref="C14">IFERROR(INDEX('Student Tracker'!$C$7:$C$176,MATCH($E14,'Student Tracker'!$Q$7:$Q$176,0)),"")</f>
        <v>28-Aadya.Shreysee@fiib.edu.in</v>
      </c>
      <c r="D14" s="156" t="str">
        <f t="array" ref="D14">IFERROR(INDEX('Student Tracker'!$F$7:$F$176,MATCH($E14,'Student Tracker'!$Q$7:$Q$176,0)),"")</f>
        <v/>
      </c>
      <c r="E14" s="160">
        <f>IFERROR(LARGE('Student Tracker'!$Q$7:$Q$176,10),"")</f>
        <v>0</v>
      </c>
      <c r="F14" s="159">
        <f t="array" ref="F14">IFERROR(INDEX('Student Tracker'!$R$7:$R$176,MATCH($E14,'Student Tracker'!$Q$7:$Q$176,0)),"")</f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55"/>
      <c r="B15" s="156"/>
      <c r="C15" s="157"/>
      <c r="D15" s="156"/>
      <c r="E15" s="160"/>
      <c r="F15" s="15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155"/>
      <c r="B16" s="156"/>
      <c r="C16" s="157"/>
      <c r="D16" s="156"/>
      <c r="E16" s="160"/>
      <c r="F16" s="15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hidden="1" customHeight="1">
      <c r="A17" s="161"/>
      <c r="B17" s="162"/>
      <c r="C17" s="163"/>
      <c r="D17" s="162"/>
      <c r="E17" s="164"/>
      <c r="F17" s="16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6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167" t="s">
        <v>639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F1"/>
    <mergeCell ref="A2:F2"/>
    <mergeCell ref="A3:F3"/>
    <mergeCell ref="A18:F18"/>
    <mergeCell ref="B19:E19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17.0"/>
    <col customWidth="1" min="4" max="4" width="22.43"/>
    <col customWidth="1" hidden="1" min="5" max="7" width="13.0"/>
    <col customWidth="1" min="8" max="10" width="8.57"/>
    <col customWidth="1" min="11" max="11" width="32.29"/>
    <col customWidth="1" min="12" max="12" width="8.57"/>
  </cols>
  <sheetData>
    <row r="1" ht="69.75" customHeight="1">
      <c r="A1" s="4"/>
      <c r="B1" s="168" t="s">
        <v>640</v>
      </c>
      <c r="C1" s="9"/>
      <c r="D1" s="9"/>
      <c r="E1" s="9"/>
      <c r="F1" s="9"/>
      <c r="G1" s="10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1.75" customHeight="1">
      <c r="A2" s="4"/>
      <c r="B2" s="169" t="s">
        <v>641</v>
      </c>
      <c r="C2" s="9"/>
      <c r="D2" s="9"/>
      <c r="E2" s="9"/>
      <c r="F2" s="9"/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8.0" customHeight="1">
      <c r="A3" s="4"/>
      <c r="B3" s="170" t="s">
        <v>642</v>
      </c>
      <c r="C3" s="9"/>
      <c r="D3" s="9"/>
      <c r="E3" s="9"/>
      <c r="F3" s="9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7.75" customHeight="1">
      <c r="A4" s="4"/>
      <c r="B4" s="171" t="s">
        <v>51</v>
      </c>
      <c r="C4" s="171" t="s">
        <v>52</v>
      </c>
      <c r="D4" s="171" t="s">
        <v>643</v>
      </c>
      <c r="E4" s="44" t="s">
        <v>644</v>
      </c>
      <c r="F4" s="44" t="s">
        <v>645</v>
      </c>
      <c r="G4" s="44" t="s">
        <v>646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24.0" customHeight="1">
      <c r="A5" s="4"/>
      <c r="B5" s="172" t="s">
        <v>58</v>
      </c>
      <c r="C5" s="173" t="s">
        <v>59</v>
      </c>
      <c r="D5" s="174">
        <f>'Student Tracker'!G177</f>
        <v>0</v>
      </c>
      <c r="E5" s="175">
        <f t="shared" ref="E5:E14" si="1">IFERROR(AVERAGE(D5),0)</f>
        <v>0</v>
      </c>
      <c r="F5" s="176">
        <v>10.0</v>
      </c>
      <c r="G5" s="177">
        <f t="shared" ref="G5:G14" si="2">IFERROR(E5/F5,0)</f>
        <v>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24.0" customHeight="1">
      <c r="A6" s="4"/>
      <c r="B6" s="178" t="s">
        <v>61</v>
      </c>
      <c r="C6" s="179" t="s">
        <v>62</v>
      </c>
      <c r="D6" s="180">
        <f>'Student Tracker'!H177</f>
        <v>0</v>
      </c>
      <c r="E6" s="175">
        <f t="shared" si="1"/>
        <v>0</v>
      </c>
      <c r="F6" s="181">
        <v>10.0</v>
      </c>
      <c r="G6" s="182">
        <f t="shared" si="2"/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24.0" customHeight="1">
      <c r="A7" s="4"/>
      <c r="B7" s="183" t="s">
        <v>64</v>
      </c>
      <c r="C7" s="184" t="s">
        <v>65</v>
      </c>
      <c r="D7" s="174">
        <f>'Student Tracker'!I177</f>
        <v>0</v>
      </c>
      <c r="E7" s="175">
        <f t="shared" si="1"/>
        <v>0</v>
      </c>
      <c r="F7" s="176">
        <v>10.0</v>
      </c>
      <c r="G7" s="177">
        <f t="shared" si="2"/>
        <v>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24.0" customHeight="1">
      <c r="A8" s="4"/>
      <c r="B8" s="185" t="s">
        <v>67</v>
      </c>
      <c r="C8" s="186" t="s">
        <v>68</v>
      </c>
      <c r="D8" s="180">
        <f>'Student Tracker'!J177</f>
        <v>0</v>
      </c>
      <c r="E8" s="175">
        <f t="shared" si="1"/>
        <v>0</v>
      </c>
      <c r="F8" s="181">
        <v>10.0</v>
      </c>
      <c r="G8" s="182">
        <f t="shared" si="2"/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24.0" customHeight="1">
      <c r="A9" s="4"/>
      <c r="B9" s="187" t="s">
        <v>70</v>
      </c>
      <c r="C9" s="188" t="s">
        <v>118</v>
      </c>
      <c r="D9" s="174">
        <f>'Student Tracker'!K177</f>
        <v>0</v>
      </c>
      <c r="E9" s="175">
        <f t="shared" si="1"/>
        <v>0</v>
      </c>
      <c r="F9" s="176">
        <v>10.0</v>
      </c>
      <c r="G9" s="177">
        <f t="shared" si="2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24.0" customHeight="1">
      <c r="A10" s="4"/>
      <c r="B10" s="189" t="s">
        <v>73</v>
      </c>
      <c r="C10" s="190" t="s">
        <v>125</v>
      </c>
      <c r="D10" s="180">
        <f>'Student Tracker'!L177</f>
        <v>0</v>
      </c>
      <c r="E10" s="175">
        <f t="shared" si="1"/>
        <v>0</v>
      </c>
      <c r="F10" s="181">
        <v>10.0</v>
      </c>
      <c r="G10" s="182">
        <f t="shared" si="2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24.0" customHeight="1">
      <c r="A11" s="4"/>
      <c r="B11" s="191" t="s">
        <v>76</v>
      </c>
      <c r="C11" s="192" t="s">
        <v>125</v>
      </c>
      <c r="D11" s="174">
        <f>'Student Tracker'!M177</f>
        <v>0</v>
      </c>
      <c r="E11" s="175">
        <f t="shared" si="1"/>
        <v>0</v>
      </c>
      <c r="F11" s="176">
        <v>10.0</v>
      </c>
      <c r="G11" s="177">
        <f t="shared" si="2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24.0" customHeight="1">
      <c r="A12" s="4"/>
      <c r="B12" s="193" t="s">
        <v>79</v>
      </c>
      <c r="C12" s="179" t="s">
        <v>138</v>
      </c>
      <c r="D12" s="180">
        <f>'Student Tracker'!N177</f>
        <v>0</v>
      </c>
      <c r="E12" s="175">
        <f t="shared" si="1"/>
        <v>0</v>
      </c>
      <c r="F12" s="181">
        <v>10.0</v>
      </c>
      <c r="G12" s="182">
        <f t="shared" si="2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24.0" customHeight="1">
      <c r="A13" s="4"/>
      <c r="B13" s="172" t="s">
        <v>82</v>
      </c>
      <c r="C13" s="173" t="s">
        <v>145</v>
      </c>
      <c r="D13" s="174">
        <f>'Student Tracker'!O177</f>
        <v>0</v>
      </c>
      <c r="E13" s="175">
        <f t="shared" si="1"/>
        <v>0</v>
      </c>
      <c r="F13" s="181">
        <v>10.0</v>
      </c>
      <c r="G13" s="182">
        <f t="shared" si="2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24.0" customHeight="1">
      <c r="A14" s="4"/>
      <c r="B14" s="193" t="s">
        <v>83</v>
      </c>
      <c r="C14" s="194" t="s">
        <v>152</v>
      </c>
      <c r="D14" s="180">
        <f>'Student Tracker'!P177</f>
        <v>0</v>
      </c>
      <c r="E14" s="175">
        <f t="shared" si="1"/>
        <v>0</v>
      </c>
      <c r="F14" s="181">
        <v>10.0</v>
      </c>
      <c r="G14" s="182">
        <f t="shared" si="2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21.75" customHeight="1">
      <c r="A16" s="4"/>
      <c r="B16" s="195" t="s">
        <v>647</v>
      </c>
      <c r="C16" s="196"/>
      <c r="D16" s="19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21.75" customHeight="1">
      <c r="A17" s="4"/>
      <c r="B17" s="198" t="s">
        <v>648</v>
      </c>
      <c r="C17" s="199" t="s">
        <v>649</v>
      </c>
      <c r="D17" s="20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21.75" customHeight="1">
      <c r="A18" s="4"/>
      <c r="B18" s="198" t="s">
        <v>650</v>
      </c>
      <c r="C18" s="199" t="s">
        <v>651</v>
      </c>
      <c r="D18" s="20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21.75" customHeight="1">
      <c r="A19" s="4"/>
      <c r="B19" s="201" t="s">
        <v>652</v>
      </c>
      <c r="C19" s="202" t="s">
        <v>653</v>
      </c>
      <c r="D19" s="20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21.75" customHeight="1">
      <c r="A20" s="4"/>
      <c r="B20" s="201" t="s">
        <v>654</v>
      </c>
      <c r="C20" s="202" t="s">
        <v>655</v>
      </c>
      <c r="D20" s="20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21.75" customHeight="1">
      <c r="A21" s="4"/>
      <c r="B21" s="204" t="s">
        <v>656</v>
      </c>
      <c r="C21" s="205" t="s">
        <v>657</v>
      </c>
      <c r="D21" s="20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21.75" customHeight="1">
      <c r="A22" s="4"/>
      <c r="B22" s="207" t="s">
        <v>658</v>
      </c>
      <c r="C22" s="208" t="s">
        <v>659</v>
      </c>
      <c r="D22" s="20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mergeCells count="4">
    <mergeCell ref="B1:G1"/>
    <mergeCell ref="B2:G2"/>
    <mergeCell ref="B3:G3"/>
    <mergeCell ref="B16:D1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2026-07-16T05:05:18Z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