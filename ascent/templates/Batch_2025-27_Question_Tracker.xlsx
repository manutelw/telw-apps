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21e8fee98b4c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 Tracker" sheetId="1" r:id="R16c6335eee81488d"/>
    <x:sheet xmlns:r="http://schemas.openxmlformats.org/officeDocument/2006/relationships" name="Leaderboard" sheetId="2" r:id="Rcba6de72a0c44f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F3CB45"/>
      <x:name val="Carlito"/>
    </x:font>
    <x:font>
      <x:sz val="10"/>
      <x:color rgb="FF273849"/>
      <x:name val="Carlito"/>
    </x:font>
    <x:font>
      <x:b/>
      <x:sz val="11"/>
      <x:color rgb="FFFFFFFF"/>
      <x:name val="Carlito"/>
    </x:font>
    <x:font>
      <x:sz val="11"/>
      <x:color rgb="FF273849"/>
      <x:name val="Carlito"/>
    </x:font>
    <x:font>
      <x:b/>
      <x:sz val="12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16F"/>
      </x:patternFill>
    </x:fill>
    <x:fill>
      <x:patternFill patternType="solid">
        <x:fgColor rgb="FFF4F7FA"/>
      </x:patternFill>
    </x:fill>
    <x:fill>
      <x:patternFill patternType="solid">
        <x:fgColor rgb="FF173455"/>
      </x:patternFill>
    </x:fill>
    <x:fill>
      <x:patternFill patternType="solid">
        <x:fgColor rgb="FFFFFFFF"/>
      </x:patternFill>
    </x:fill>
    <x:fill>
      <x:patternFill patternType="solid">
        <x:fgColor rgb="FFE9EFF7"/>
      </x:patternFill>
    </x:fill>
    <x:fill>
      <x:patternFill patternType="solid">
        <x:fgColor rgb="FFD5A400"/>
      </x:patternFill>
    </x:fill>
  </x:fills>
  <x:borders count="3">
    <x:border/>
    <x:border>
      <x:left style="thin">
        <x:color rgb="FFC7D1DC"/>
      </x:left>
      <x:right style="thin">
        <x:color rgb="FFC7D1DC"/>
      </x:right>
      <x:top style="thin">
        <x:color rgb="FFC7D1DC"/>
      </x:top>
      <x:bottom style="thin">
        <x:color rgb="FFC7D1DC"/>
      </x:bottom>
    </x:border>
    <x:border>
      <x:left style="thin">
        <x:color rgb="FFD7DEE6"/>
      </x:left>
      <x:right style="thin">
        <x:color rgb="FFD7DEE6"/>
      </x:right>
      <x:top style="thin">
        <x:color rgb="FFD7DEE6"/>
      </x:top>
      <x:bottom style="thin">
        <x:color rgb="FFD7DEE6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vertical="center"/>
    </x:xf>
    <x:xf numFmtId="0" fontId="3" fillId="5" borderId="2" xfId="0" applyNumberFormat="1" applyFont="1" applyFill="1" applyBorder="1" applyAlignment="1">
      <x:alignment vertical="center"/>
    </x:xf>
    <x:xf numFmtId="0" fontId="3" fillId="6" borderId="2" xfId="0" applyNumberFormat="1" applyFont="1" applyFill="1" applyBorder="1" applyAlignment="1">
      <x:alignment vertical="center"/>
    </x:xf>
    <x:xf numFmtId="0" fontId="3" fillId="6" borderId="2" xfId="0" applyNumberFormat="1" applyFont="1" applyFill="1" applyBorder="1" applyAlignment="1">
      <x:alignment horizontal="center" vertical="center"/>
    </x:xf>
    <x:xf numFmtId="200" fontId="3" fillId="6" borderId="2" xfId="0" applyNumberFormat="1" applyFont="1" applyFill="1" applyBorder="1" applyAlignment="1">
      <x:alignment horizontal="center" vertical="center"/>
    </x:xf>
    <x:xf numFmtId="0" fontId="3" fillId="5" borderId="2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2" xfId="0" applyNumberFormat="1" applyFont="1" applyFill="1" applyBorder="1" applyAlignment="1">
      <x:alignment vertical="center"/>
    </x:xf>
    <x:xf numFmtId="0" fontId="5" fillId="7" borderId="2" xfId="0" applyNumberFormat="1" applyFont="1" applyFill="1" applyBorder="1" applyAlignment="1">
      <x:alignment vertical="center"/>
    </x:xf>
    <x:xf numFmtId="0" fontId="6" fillId="7" borderId="2" xfId="0" applyNumberFormat="1" applyFont="1" applyFill="1" applyBorder="1" applyAlignment="1">
      <x:alignment vertical="center"/>
    </x:xf>
    <x:xf numFmtId="0" fontId="6" fillId="7" borderId="2" xfId="0" applyNumberFormat="1" applyFont="1" applyFill="1" applyBorder="1" applyAlignment="1">
      <x:alignment horizontal="center" vertical="center"/>
    </x:xf>
    <x:xf numFmtId="0" fontId="5" fillId="5" borderId="2" xfId="0" applyNumberFormat="1" applyFont="1" applyFill="1" applyBorder="1" applyAlignment="1">
      <x:alignment horizontal="center" vertical="center"/>
    </x:xf>
    <x:xf numFmtId="200" fontId="5" fillId="5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b200705da849b5" /><Relationship Type="http://schemas.openxmlformats.org/officeDocument/2006/relationships/theme" Target="/xl/theme/theme1.xml" Id="R3c936ee3c18d4afd" /><Relationship Type="http://schemas.openxmlformats.org/officeDocument/2006/relationships/sharedStrings" Target="/xl/sharedStrings.xml" Id="R00e375388e3e4a72" /><Relationship Type="http://schemas.openxmlformats.org/officeDocument/2006/relationships/worksheet" Target="/xl/worksheets/sheet1.xml" Id="R16c6335eee81488d" /><Relationship Type="http://schemas.openxmlformats.org/officeDocument/2006/relationships/worksheet" Target="/xl/worksheets/sheet2.xml" Id="Rcba6de72a0c44f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5" hidden="0" customWidth="1"/>
    <x:col min="3" max="3" width="3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" hidden="0" customWidth="1"/>
  </x:cols>
  <x:sheetData>
    <x:row r="1" ht="30" customHeight="1">
      <x:c r="A1" s="4" t="str">
        <x:v>ZIP AHEAD — 2025-27 Student Tracker</x:v>
      </x:c>
      <x:c r="B1" s="4"/>
      <x:c r="C1" s="4"/>
      <x:c r="D1" s="4"/>
      <x:c r="E1" s="4"/>
      <x:c r="F1" s="4"/>
      <x:c r="G1" s="4"/>
      <x:c r="H1" s="4"/>
    </x:row>
    <x:row r="2" ht="22" customHeight="1">
      <x:c r="A2" s="5" t="str">
        <x:v>Each submitted ASCENT answer becomes the student’s next Question column.</x:v>
      </x:c>
      <x:c r="B2" s="5"/>
      <x:c r="C2" s="5"/>
      <x:c r="D2" s="5"/>
      <x:c r="E2" s="5"/>
      <x:c r="F2" s="5"/>
      <x:c r="G2" s="5"/>
      <x:c r="H2" s="5"/>
    </x:row>
    <x:row r="3" ht="22" customHeight="1">
      <x:c r="A3" s="7" t="str">
        <x:v>Question columns are added automatically. Total and average scores remain on the right.</x:v>
      </x:c>
      <x:c r="B3" s="7"/>
      <x:c r="C3" s="7"/>
      <x:c r="D3" s="7"/>
      <x:c r="E3" s="7"/>
      <x:c r="F3" s="7"/>
      <x:c r="G3" s="7"/>
      <x:c r="H3" s="7"/>
    </x:row>
    <x:row r="5" ht="34" customHeight="1">
      <x:c r="A5" s="13" t="str">
        <x:v>Roll Number</x:v>
      </x:c>
      <x:c r="B5" s="13" t="str">
        <x:v>Name</x:v>
      </x:c>
      <x:c r="C5" s="13" t="str">
        <x:v>Email ID</x:v>
      </x:c>
      <x:c r="D5" s="13" t="str">
        <x:v>Mobile Number</x:v>
      </x:c>
      <x:c r="E5" s="13" t="str">
        <x:v>Total Score</x:v>
      </x:c>
      <x:c r="F5" s="13" t="str">
        <x:v>Average Score</x:v>
      </x:c>
      <x:c r="G5" s="13" t="str">
        <x:v>Questions Answered</x:v>
      </x:c>
      <x:c r="H5" s="13" t="str">
        <x:v>Rank Helper</x:v>
      </x:c>
    </x:row>
    <x:row r="6">
      <x:c r="A6" s="21" t="str">
        <x:v>25PGDM001</x:v>
      </x:c>
      <x:c r="B6" s="17" t="str">
        <x:v>Abha Shakya</x:v>
      </x:c>
      <x:c r="C6" s="17" t="str">
        <x:v>27-Abha.Shakya@fiib.edu.in</x:v>
      </x:c>
      <x:c r="D6" s="17" t="str">
        <x:v>91-9311265389</x:v>
      </x:c>
      <x:c r="E6" s="20" t="n">
        <x:v>0</x:v>
      </x:c>
      <x:c r="F6" s="20" t="n">
        <x:v>0</x:v>
      </x:c>
      <x:c r="G6" s="19" t="n">
        <x:v>0</x:v>
      </x:c>
      <x:c r="H6" s="18" t="n">
        <x:f>IF(E6&gt;0,E6+ROW()/100000,0)</x:f>
        <x:v>0</x:v>
      </x:c>
    </x:row>
    <x:row r="7">
      <x:c r="A7" s="21" t="str">
        <x:v>25PGDM002</x:v>
      </x:c>
      <x:c r="B7" s="17" t="str">
        <x:v>Abhishek Anand</x:v>
      </x:c>
      <x:c r="C7" s="17" t="str">
        <x:v>27-Abhishek@fiib.edu.in</x:v>
      </x:c>
      <x:c r="D7" s="17" t="str">
        <x:v>8873198431.0</x:v>
      </x:c>
      <x:c r="E7" s="20" t="n">
        <x:v>0</x:v>
      </x:c>
      <x:c r="F7" s="20" t="n">
        <x:v>0</x:v>
      </x:c>
      <x:c r="G7" s="19" t="n">
        <x:v>0</x:v>
      </x:c>
      <x:c r="H7" s="18" t="n">
        <x:f>IF(E7&gt;0,E7+ROW()/100000,0)</x:f>
        <x:v>0</x:v>
      </x:c>
    </x:row>
    <x:row r="8">
      <x:c r="A8" s="21" t="str">
        <x:v>25PGDM003</x:v>
      </x:c>
      <x:c r="B8" s="17" t="str">
        <x:v>Abuzar Ansari</x:v>
      </x:c>
      <x:c r="C8" s="17" t="str">
        <x:v>27-Abzur.Ansari@fiib.edu.in</x:v>
      </x:c>
      <x:c r="D8" s="17" t="str">
        <x:v>91-9557940171</x:v>
      </x:c>
      <x:c r="E8" s="20" t="n">
        <x:v>0</x:v>
      </x:c>
      <x:c r="F8" s="20" t="n">
        <x:v>0</x:v>
      </x:c>
      <x:c r="G8" s="19" t="n">
        <x:v>0</x:v>
      </x:c>
      <x:c r="H8" s="18" t="n">
        <x:f>IF(E8&gt;0,E8+ROW()/100000,0)</x:f>
        <x:v>0</x:v>
      </x:c>
    </x:row>
    <x:row r="9">
      <x:c r="A9" s="21" t="str">
        <x:v>25PGDM004</x:v>
      </x:c>
      <x:c r="B9" s="17" t="str">
        <x:v>Adarshjit Roy</x:v>
      </x:c>
      <x:c r="C9" s="17" t="str">
        <x:v>27-Adarshjit.Roy@fiib.edu.in</x:v>
      </x:c>
      <x:c r="D9" s="17" t="str">
        <x:v>91-8618522850</x:v>
      </x:c>
      <x:c r="E9" s="20" t="n">
        <x:v>0</x:v>
      </x:c>
      <x:c r="F9" s="20" t="n">
        <x:v>0</x:v>
      </x:c>
      <x:c r="G9" s="19" t="n">
        <x:v>0</x:v>
      </x:c>
      <x:c r="H9" s="18" t="n">
        <x:f>IF(E9&gt;0,E9+ROW()/100000,0)</x:f>
        <x:v>0</x:v>
      </x:c>
    </x:row>
    <x:row r="10">
      <x:c r="A10" s="21" t="str">
        <x:v>25PGDM005</x:v>
      </x:c>
      <x:c r="B10" s="17" t="str">
        <x:v>Aditi Yadav</x:v>
      </x:c>
      <x:c r="C10" s="17" t="str">
        <x:v>27-Aditi.Yadav@fiib.edu.in</x:v>
      </x:c>
      <x:c r="D10" s="17" t="str">
        <x:v>91-6306677324</x:v>
      </x:c>
      <x:c r="E10" s="20" t="n">
        <x:v>0</x:v>
      </x:c>
      <x:c r="F10" s="20" t="n">
        <x:v>0</x:v>
      </x:c>
      <x:c r="G10" s="19" t="n">
        <x:v>0</x:v>
      </x:c>
      <x:c r="H10" s="18" t="n">
        <x:f>IF(E10&gt;0,E10+ROW()/100000,0)</x:f>
        <x:v>0</x:v>
      </x:c>
    </x:row>
    <x:row r="11">
      <x:c r="A11" s="21" t="str">
        <x:v>25PGDM006</x:v>
      </x:c>
      <x:c r="B11" s="17" t="str">
        <x:v>Aditya Singh Bhadoriya</x:v>
      </x:c>
      <x:c r="C11" s="17" t="str">
        <x:v>27-Aditya.Bhadoriya@fiib.edu.in</x:v>
      </x:c>
      <x:c r="D11" s="17" t="str">
        <x:v>91-7067548695</x:v>
      </x:c>
      <x:c r="E11" s="20" t="n">
        <x:v>0</x:v>
      </x:c>
      <x:c r="F11" s="20" t="n">
        <x:v>0</x:v>
      </x:c>
      <x:c r="G11" s="19" t="n">
        <x:v>0</x:v>
      </x:c>
      <x:c r="H11" s="18" t="n">
        <x:f>IF(E11&gt;0,E11+ROW()/100000,0)</x:f>
        <x:v>0</x:v>
      </x:c>
    </x:row>
    <x:row r="12">
      <x:c r="A12" s="21" t="str">
        <x:v>25PGDM007</x:v>
      </x:c>
      <x:c r="B12" s="17" t="str">
        <x:v>Ananya Magotra</x:v>
      </x:c>
      <x:c r="C12" s="17" t="str">
        <x:v>27-Ananya.Magotra@fiib.edu.in</x:v>
      </x:c>
      <x:c r="D12" s="17" t="str">
        <x:v>91-9149600830</x:v>
      </x:c>
      <x:c r="E12" s="20" t="n">
        <x:v>0</x:v>
      </x:c>
      <x:c r="F12" s="20" t="n">
        <x:v>0</x:v>
      </x:c>
      <x:c r="G12" s="19" t="n">
        <x:v>0</x:v>
      </x:c>
      <x:c r="H12" s="18" t="n">
        <x:f>IF(E12&gt;0,E12+ROW()/100000,0)</x:f>
        <x:v>0</x:v>
      </x:c>
    </x:row>
    <x:row r="13">
      <x:c r="A13" s="21" t="str">
        <x:v>25PGDM008</x:v>
      </x:c>
      <x:c r="B13" s="17" t="str">
        <x:v>Andeep</x:v>
      </x:c>
      <x:c r="C13" s="17" t="str">
        <x:v>27-Andeep@fiib.edu.in</x:v>
      </x:c>
      <x:c r="D13" s="17" t="str">
        <x:v>91-9352705805</x:v>
      </x:c>
      <x:c r="E13" s="20" t="n">
        <x:v>0</x:v>
      </x:c>
      <x:c r="F13" s="20" t="n">
        <x:v>0</x:v>
      </x:c>
      <x:c r="G13" s="19" t="n">
        <x:v>0</x:v>
      </x:c>
      <x:c r="H13" s="18" t="n">
        <x:f>IF(E13&gt;0,E13+ROW()/100000,0)</x:f>
        <x:v>0</x:v>
      </x:c>
    </x:row>
    <x:row r="14">
      <x:c r="A14" s="21" t="str">
        <x:v>25PGDM009</x:v>
      </x:c>
      <x:c r="B14" s="17" t="str">
        <x:v>Ankesh Kumar</x:v>
      </x:c>
      <x:c r="C14" s="17" t="str">
        <x:v>27-Ankesh.Kumar@fiib.edu.in</x:v>
      </x:c>
      <x:c r="D14" s="17" t="str">
        <x:v>91-7004328504</x:v>
      </x:c>
      <x:c r="E14" s="20" t="n">
        <x:v>0</x:v>
      </x:c>
      <x:c r="F14" s="20" t="n">
        <x:v>0</x:v>
      </x:c>
      <x:c r="G14" s="19" t="n">
        <x:v>0</x:v>
      </x:c>
      <x:c r="H14" s="18" t="n">
        <x:f>IF(E14&gt;0,E14+ROW()/100000,0)</x:f>
        <x:v>0</x:v>
      </x:c>
    </x:row>
    <x:row r="15">
      <x:c r="A15" s="21" t="str">
        <x:v>25PGDM010</x:v>
      </x:c>
      <x:c r="B15" s="17" t="str">
        <x:v>Anshul Mutreja</x:v>
      </x:c>
      <x:c r="C15" s="17" t="str">
        <x:v>27-Anshul.Mutreja@fiib.edu.in</x:v>
      </x:c>
      <x:c r="D15" s="17" t="str">
        <x:v>91-7988751210</x:v>
      </x:c>
      <x:c r="E15" s="20" t="n">
        <x:v>0</x:v>
      </x:c>
      <x:c r="F15" s="20" t="n">
        <x:v>0</x:v>
      </x:c>
      <x:c r="G15" s="19" t="n">
        <x:v>0</x:v>
      </x:c>
      <x:c r="H15" s="18" t="n">
        <x:f>IF(E15&gt;0,E15+ROW()/100000,0)</x:f>
        <x:v>0</x:v>
      </x:c>
    </x:row>
    <x:row r="16">
      <x:c r="A16" s="21" t="str">
        <x:v>25PGDM011</x:v>
      </x:c>
      <x:c r="B16" s="17" t="str">
        <x:v>Archi Saha</x:v>
      </x:c>
      <x:c r="C16" s="17" t="str">
        <x:v>27-Archi.Saha@fiib.edu.in</x:v>
      </x:c>
      <x:c r="D16" s="17" t="str">
        <x:v>91-8100282964</x:v>
      </x:c>
      <x:c r="E16" s="20" t="n">
        <x:v>0</x:v>
      </x:c>
      <x:c r="F16" s="20" t="n">
        <x:v>0</x:v>
      </x:c>
      <x:c r="G16" s="19" t="n">
        <x:v>0</x:v>
      </x:c>
      <x:c r="H16" s="18" t="n">
        <x:f>IF(E16&gt;0,E16+ROW()/100000,0)</x:f>
        <x:v>0</x:v>
      </x:c>
    </x:row>
    <x:row r="17">
      <x:c r="A17" s="21" t="str">
        <x:v>25PGDM012</x:v>
      </x:c>
      <x:c r="B17" s="17" t="str">
        <x:v>Ashish Tiwary</x:v>
      </x:c>
      <x:c r="C17" s="17" t="str">
        <x:v>27-Ashish.Tiwary@fiib.edu.in</x:v>
      </x:c>
      <x:c r="D17" s="17" t="str">
        <x:v>91-7903438525</x:v>
      </x:c>
      <x:c r="E17" s="20" t="n">
        <x:v>0</x:v>
      </x:c>
      <x:c r="F17" s="20" t="n">
        <x:v>0</x:v>
      </x:c>
      <x:c r="G17" s="19" t="n">
        <x:v>0</x:v>
      </x:c>
      <x:c r="H17" s="18" t="n">
        <x:f>IF(E17&gt;0,E17+ROW()/100000,0)</x:f>
        <x:v>0</x:v>
      </x:c>
    </x:row>
    <x:row r="18">
      <x:c r="A18" s="21" t="str">
        <x:v>25PGDM013</x:v>
      </x:c>
      <x:c r="B18" s="17" t="str">
        <x:v>Bhakti Dhawan</x:v>
      </x:c>
      <x:c r="C18" s="17" t="str">
        <x:v>27-Bhakti.Dhawan@fiib.edu.in</x:v>
      </x:c>
      <x:c r="D18" s="17" t="str">
        <x:v>91-6283044397</x:v>
      </x:c>
      <x:c r="E18" s="20" t="n">
        <x:v>0</x:v>
      </x:c>
      <x:c r="F18" s="20" t="n">
        <x:v>0</x:v>
      </x:c>
      <x:c r="G18" s="19" t="n">
        <x:v>0</x:v>
      </x:c>
      <x:c r="H18" s="18" t="n">
        <x:f>IF(E18&gt;0,E18+ROW()/100000,0)</x:f>
        <x:v>0</x:v>
      </x:c>
    </x:row>
    <x:row r="19">
      <x:c r="A19" s="21" t="str">
        <x:v>25PGDM014</x:v>
      </x:c>
      <x:c r="B19" s="17" t="str">
        <x:v>Chandni Choudhary</x:v>
      </x:c>
      <x:c r="C19" s="17" t="str">
        <x:v>27-Chandni.Choudhary@fiib.edu.in</x:v>
      </x:c>
      <x:c r="D19" s="17" t="str">
        <x:v>91-9326856661</x:v>
      </x:c>
      <x:c r="E19" s="20" t="n">
        <x:v>0</x:v>
      </x:c>
      <x:c r="F19" s="20" t="n">
        <x:v>0</x:v>
      </x:c>
      <x:c r="G19" s="19" t="n">
        <x:v>0</x:v>
      </x:c>
      <x:c r="H19" s="18" t="n">
        <x:f>IF(E19&gt;0,E19+ROW()/100000,0)</x:f>
        <x:v>0</x:v>
      </x:c>
    </x:row>
    <x:row r="20">
      <x:c r="A20" s="21" t="str">
        <x:v>25PGDM015</x:v>
      </x:c>
      <x:c r="B20" s="17" t="str">
        <x:v>Chirag</x:v>
      </x:c>
      <x:c r="C20" s="17" t="str">
        <x:v>27-Chirag@fiib.edu.in</x:v>
      </x:c>
      <x:c r="D20" s="17" t="str">
        <x:v>91-9034992136</x:v>
      </x:c>
      <x:c r="E20" s="20" t="n">
        <x:v>0</x:v>
      </x:c>
      <x:c r="F20" s="20" t="n">
        <x:v>0</x:v>
      </x:c>
      <x:c r="G20" s="19" t="n">
        <x:v>0</x:v>
      </x:c>
      <x:c r="H20" s="18" t="n">
        <x:f>IF(E20&gt;0,E20+ROW()/100000,0)</x:f>
        <x:v>0</x:v>
      </x:c>
    </x:row>
    <x:row r="21">
      <x:c r="A21" s="21" t="str">
        <x:v>25PGDM016</x:v>
      </x:c>
      <x:c r="B21" s="17" t="str">
        <x:v>Chirag Pokhriyal</x:v>
      </x:c>
      <x:c r="C21" s="17" t="str">
        <x:v>27-Chirag.Pokhriyal@fiib.edu.in</x:v>
      </x:c>
      <x:c r="D21" s="17" t="str">
        <x:v>91-9710031888</x:v>
      </x:c>
      <x:c r="E21" s="20" t="n">
        <x:v>0</x:v>
      </x:c>
      <x:c r="F21" s="20" t="n">
        <x:v>0</x:v>
      </x:c>
      <x:c r="G21" s="19" t="n">
        <x:v>0</x:v>
      </x:c>
      <x:c r="H21" s="18" t="n">
        <x:f>IF(E21&gt;0,E21+ROW()/100000,0)</x:f>
        <x:v>0</x:v>
      </x:c>
    </x:row>
    <x:row r="22">
      <x:c r="A22" s="21" t="str">
        <x:v>25PGDM017</x:v>
      </x:c>
      <x:c r="B22" s="17" t="str">
        <x:v>Dhananjay Singh</x:v>
      </x:c>
      <x:c r="C22" s="17" t="str">
        <x:v>27-Dhananjay.Singh@fiib.edu.in</x:v>
      </x:c>
      <x:c r="D22" s="17" t="str">
        <x:v>91-8826047642</x:v>
      </x:c>
      <x:c r="E22" s="20" t="n">
        <x:v>0</x:v>
      </x:c>
      <x:c r="F22" s="20" t="n">
        <x:v>0</x:v>
      </x:c>
      <x:c r="G22" s="19" t="n">
        <x:v>0</x:v>
      </x:c>
      <x:c r="H22" s="18" t="n">
        <x:f>IF(E22&gt;0,E22+ROW()/100000,0)</x:f>
        <x:v>0</x:v>
      </x:c>
    </x:row>
    <x:row r="23">
      <x:c r="A23" s="21" t="str">
        <x:v>25PGDM018</x:v>
      </x:c>
      <x:c r="B23" s="17" t="str">
        <x:v>Diya Sharma</x:v>
      </x:c>
      <x:c r="C23" s="17" t="str">
        <x:v>27-Diya.Sharma@fiib.edu.in</x:v>
      </x:c>
      <x:c r="D23" s="17" t="str">
        <x:v>91-7508508414</x:v>
      </x:c>
      <x:c r="E23" s="20" t="n">
        <x:v>0</x:v>
      </x:c>
      <x:c r="F23" s="20" t="n">
        <x:v>0</x:v>
      </x:c>
      <x:c r="G23" s="19" t="n">
        <x:v>0</x:v>
      </x:c>
      <x:c r="H23" s="18" t="n">
        <x:f>IF(E23&gt;0,E23+ROW()/100000,0)</x:f>
        <x:v>0</x:v>
      </x:c>
    </x:row>
    <x:row r="24">
      <x:c r="A24" s="21" t="str">
        <x:v>25PGDM019</x:v>
      </x:c>
      <x:c r="B24" s="17" t="str">
        <x:v>Gitansh Arora</x:v>
      </x:c>
      <x:c r="C24" s="17" t="str">
        <x:v>27-Gitansh.Arora@fiib.edu.in</x:v>
      </x:c>
      <x:c r="D24" s="17" t="str">
        <x:v>91-9311329259</x:v>
      </x:c>
      <x:c r="E24" s="20" t="n">
        <x:v>0</x:v>
      </x:c>
      <x:c r="F24" s="20" t="n">
        <x:v>0</x:v>
      </x:c>
      <x:c r="G24" s="19" t="n">
        <x:v>0</x:v>
      </x:c>
      <x:c r="H24" s="18" t="n">
        <x:f>IF(E24&gt;0,E24+ROW()/100000,0)</x:f>
        <x:v>0</x:v>
      </x:c>
    </x:row>
    <x:row r="25">
      <x:c r="A25" s="21" t="str">
        <x:v>25PGDM020</x:v>
      </x:c>
      <x:c r="B25" s="17" t="str">
        <x:v>Harsh Vardhan Sharma</x:v>
      </x:c>
      <x:c r="C25" s="17" t="str">
        <x:v>27-Harsh.Sharma@fiib.edu.in</x:v>
      </x:c>
      <x:c r="D25" s="17" t="str">
        <x:v>91-7982774986</x:v>
      </x:c>
      <x:c r="E25" s="20" t="n">
        <x:v>0</x:v>
      </x:c>
      <x:c r="F25" s="20" t="n">
        <x:v>0</x:v>
      </x:c>
      <x:c r="G25" s="19" t="n">
        <x:v>0</x:v>
      </x:c>
      <x:c r="H25" s="18" t="n">
        <x:f>IF(E25&gt;0,E25+ROW()/100000,0)</x:f>
        <x:v>0</x:v>
      </x:c>
    </x:row>
    <x:row r="26">
      <x:c r="A26" s="21" t="str">
        <x:v>25PGDM021</x:v>
      </x:c>
      <x:c r="B26" s="17" t="str">
        <x:v>Himanshu Rawat</x:v>
      </x:c>
      <x:c r="C26" s="17" t="str">
        <x:v>27-Himanshu.Rawat@fiib.edu.in</x:v>
      </x:c>
      <x:c r="D26" s="17" t="str">
        <x:v>91-9891292140</x:v>
      </x:c>
      <x:c r="E26" s="20" t="n">
        <x:v>0</x:v>
      </x:c>
      <x:c r="F26" s="20" t="n">
        <x:v>0</x:v>
      </x:c>
      <x:c r="G26" s="19" t="n">
        <x:v>0</x:v>
      </x:c>
      <x:c r="H26" s="18" t="n">
        <x:f>IF(E26&gt;0,E26+ROW()/100000,0)</x:f>
        <x:v>0</x:v>
      </x:c>
    </x:row>
    <x:row r="27">
      <x:c r="A27" s="21" t="str">
        <x:v>25PGDM022</x:v>
      </x:c>
      <x:c r="B27" s="17" t="str">
        <x:v>Kajal Mishra</x:v>
      </x:c>
      <x:c r="C27" s="17" t="str">
        <x:v>27-Kajal.Mishra@fiib.edu.in</x:v>
      </x:c>
      <x:c r="D27" s="17" t="str">
        <x:v>91-8840379938</x:v>
      </x:c>
      <x:c r="E27" s="20" t="n">
        <x:v>0</x:v>
      </x:c>
      <x:c r="F27" s="20" t="n">
        <x:v>0</x:v>
      </x:c>
      <x:c r="G27" s="19" t="n">
        <x:v>0</x:v>
      </x:c>
      <x:c r="H27" s="18" t="n">
        <x:f>IF(E27&gt;0,E27+ROW()/100000,0)</x:f>
        <x:v>0</x:v>
      </x:c>
    </x:row>
    <x:row r="28">
      <x:c r="A28" s="21" t="str">
        <x:v>25PGDM023</x:v>
      </x:c>
      <x:c r="B28" s="17" t="str">
        <x:v>Kartikey Gaur</x:v>
      </x:c>
      <x:c r="C28" s="17" t="str">
        <x:v>27-Kartikey.Gaur@fiib.edu.in</x:v>
      </x:c>
      <x:c r="D28" s="17" t="str">
        <x:v>91-9599369204</x:v>
      </x:c>
      <x:c r="E28" s="20" t="n">
        <x:v>0</x:v>
      </x:c>
      <x:c r="F28" s="20" t="n">
        <x:v>0</x:v>
      </x:c>
      <x:c r="G28" s="19" t="n">
        <x:v>0</x:v>
      </x:c>
      <x:c r="H28" s="18" t="n">
        <x:f>IF(E28&gt;0,E28+ROW()/100000,0)</x:f>
        <x:v>0</x:v>
      </x:c>
    </x:row>
    <x:row r="29">
      <x:c r="A29" s="21" t="str">
        <x:v>25PGDM024</x:v>
      </x:c>
      <x:c r="B29" s="17" t="str">
        <x:v>Khushi Rampal</x:v>
      </x:c>
      <x:c r="C29" s="17" t="str">
        <x:v>27-Khushi.Rampal@fiib.edu.in</x:v>
      </x:c>
      <x:c r="D29" s="17" t="str">
        <x:v>91-7836027875</x:v>
      </x:c>
      <x:c r="E29" s="20" t="n">
        <x:v>0</x:v>
      </x:c>
      <x:c r="F29" s="20" t="n">
        <x:v>0</x:v>
      </x:c>
      <x:c r="G29" s="19" t="n">
        <x:v>0</x:v>
      </x:c>
      <x:c r="H29" s="18" t="n">
        <x:f>IF(E29&gt;0,E29+ROW()/100000,0)</x:f>
        <x:v>0</x:v>
      </x:c>
    </x:row>
    <x:row r="30">
      <x:c r="A30" s="21" t="str">
        <x:v>25PGDM025</x:v>
      </x:c>
      <x:c r="B30" s="17" t="str">
        <x:v>Khushi Verma</x:v>
      </x:c>
      <x:c r="C30" s="17" t="str">
        <x:v>27-Khushi.Verma@fiib.edu.in</x:v>
      </x:c>
      <x:c r="D30" s="17" t="str">
        <x:v>91-7987070994</x:v>
      </x:c>
      <x:c r="E30" s="20" t="n">
        <x:v>0</x:v>
      </x:c>
      <x:c r="F30" s="20" t="n">
        <x:v>0</x:v>
      </x:c>
      <x:c r="G30" s="19" t="n">
        <x:v>0</x:v>
      </x:c>
      <x:c r="H30" s="18" t="n">
        <x:f>IF(E30&gt;0,E30+ROW()/100000,0)</x:f>
        <x:v>0</x:v>
      </x:c>
    </x:row>
    <x:row r="31">
      <x:c r="A31" s="21" t="str">
        <x:v>25PGDM026</x:v>
      </x:c>
      <x:c r="B31" s="17" t="str">
        <x:v>Kritika</x:v>
      </x:c>
      <x:c r="C31" s="17" t="str">
        <x:v>27-Kritika@fiib.edu.in</x:v>
      </x:c>
      <x:c r="D31" s="17" t="str">
        <x:v>91-7042895543</x:v>
      </x:c>
      <x:c r="E31" s="20" t="n">
        <x:v>0</x:v>
      </x:c>
      <x:c r="F31" s="20" t="n">
        <x:v>0</x:v>
      </x:c>
      <x:c r="G31" s="19" t="n">
        <x:v>0</x:v>
      </x:c>
      <x:c r="H31" s="18" t="n">
        <x:f>IF(E31&gt;0,E31+ROW()/100000,0)</x:f>
        <x:v>0</x:v>
      </x:c>
    </x:row>
    <x:row r="32">
      <x:c r="A32" s="21" t="str">
        <x:v>25PGDM027</x:v>
      </x:c>
      <x:c r="B32" s="17" t="str">
        <x:v>Kritika Choubey</x:v>
      </x:c>
      <x:c r="C32" s="17" t="str">
        <x:v>27-Kritika.Choubey@fiib.edu.in</x:v>
      </x:c>
      <x:c r="D32" s="17" t="str">
        <x:v>91-8287170220</x:v>
      </x:c>
      <x:c r="E32" s="20" t="n">
        <x:v>0</x:v>
      </x:c>
      <x:c r="F32" s="20" t="n">
        <x:v>0</x:v>
      </x:c>
      <x:c r="G32" s="19" t="n">
        <x:v>0</x:v>
      </x:c>
      <x:c r="H32" s="18" t="n">
        <x:f>IF(E32&gt;0,E32+ROW()/100000,0)</x:f>
        <x:v>0</x:v>
      </x:c>
    </x:row>
    <x:row r="33">
      <x:c r="A33" s="21" t="str">
        <x:v>25PGDM028</x:v>
      </x:c>
      <x:c r="B33" s="17" t="str">
        <x:v>Kusha Vasudeva</x:v>
      </x:c>
      <x:c r="C33" s="17" t="str">
        <x:v>27-Kusha.Vasudeva@fiib.edu.in</x:v>
      </x:c>
      <x:c r="D33" s="17" t="str">
        <x:v>91-7827839857</x:v>
      </x:c>
      <x:c r="E33" s="20" t="n">
        <x:v>0</x:v>
      </x:c>
      <x:c r="F33" s="20" t="n">
        <x:v>0</x:v>
      </x:c>
      <x:c r="G33" s="19" t="n">
        <x:v>0</x:v>
      </x:c>
      <x:c r="H33" s="18" t="n">
        <x:f>IF(E33&gt;0,E33+ROW()/100000,0)</x:f>
        <x:v>0</x:v>
      </x:c>
    </x:row>
    <x:row r="34">
      <x:c r="A34" s="21" t="str">
        <x:v>25PGDM029</x:v>
      </x:c>
      <x:c r="B34" s="17" t="str">
        <x:v>Labhanshi Sharma</x:v>
      </x:c>
      <x:c r="C34" s="17" t="str">
        <x:v>27-Labhanshi.Sharma@fiib.edu.in</x:v>
      </x:c>
      <x:c r="D34" s="17" t="str">
        <x:v>91-9414349469</x:v>
      </x:c>
      <x:c r="E34" s="20" t="n">
        <x:v>0</x:v>
      </x:c>
      <x:c r="F34" s="20" t="n">
        <x:v>0</x:v>
      </x:c>
      <x:c r="G34" s="19" t="n">
        <x:v>0</x:v>
      </x:c>
      <x:c r="H34" s="18" t="n">
        <x:f>IF(E34&gt;0,E34+ROW()/100000,0)</x:f>
        <x:v>0</x:v>
      </x:c>
    </x:row>
    <x:row r="35">
      <x:c r="A35" s="21" t="str">
        <x:v>25PGDM030</x:v>
      </x:c>
      <x:c r="B35" s="17" t="str">
        <x:v>Mahi Yadav</x:v>
      </x:c>
      <x:c r="C35" s="17" t="str">
        <x:v>27-Mahi.Yadav@fiib.edu.in</x:v>
      </x:c>
      <x:c r="D35" s="17" t="str">
        <x:v>91-8439692109</x:v>
      </x:c>
      <x:c r="E35" s="20" t="n">
        <x:v>0</x:v>
      </x:c>
      <x:c r="F35" s="20" t="n">
        <x:v>0</x:v>
      </x:c>
      <x:c r="G35" s="19" t="n">
        <x:v>0</x:v>
      </x:c>
      <x:c r="H35" s="18" t="n">
        <x:f>IF(E35&gt;0,E35+ROW()/100000,0)</x:f>
        <x:v>0</x:v>
      </x:c>
    </x:row>
    <x:row r="36">
      <x:c r="A36" s="21" t="str">
        <x:v>25PGDM031</x:v>
      </x:c>
      <x:c r="B36" s="17" t="str">
        <x:v>Mayank Jain</x:v>
      </x:c>
      <x:c r="C36" s="17" t="str">
        <x:v>27-Mayank.Jain@fiib.edu.in</x:v>
      </x:c>
      <x:c r="D36" s="17" t="str">
        <x:v>91-8690727101</x:v>
      </x:c>
      <x:c r="E36" s="20" t="n">
        <x:v>0</x:v>
      </x:c>
      <x:c r="F36" s="20" t="n">
        <x:v>0</x:v>
      </x:c>
      <x:c r="G36" s="19" t="n">
        <x:v>0</x:v>
      </x:c>
      <x:c r="H36" s="18" t="n">
        <x:f>IF(E36&gt;0,E36+ROW()/100000,0)</x:f>
        <x:v>0</x:v>
      </x:c>
    </x:row>
    <x:row r="37">
      <x:c r="A37" s="21" t="str">
        <x:v>25PGDM032</x:v>
      </x:c>
      <x:c r="B37" s="17" t="str">
        <x:v>Mohit Kumar</x:v>
      </x:c>
      <x:c r="C37" s="17" t="str">
        <x:v>27-Mohit.Kumar@fiib.edu.in</x:v>
      </x:c>
      <x:c r="D37" s="17" t="str">
        <x:v>91-9874454984</x:v>
      </x:c>
      <x:c r="E37" s="20" t="n">
        <x:v>0</x:v>
      </x:c>
      <x:c r="F37" s="20" t="n">
        <x:v>0</x:v>
      </x:c>
      <x:c r="G37" s="19" t="n">
        <x:v>0</x:v>
      </x:c>
      <x:c r="H37" s="18" t="n">
        <x:f>IF(E37&gt;0,E37+ROW()/100000,0)</x:f>
        <x:v>0</x:v>
      </x:c>
    </x:row>
    <x:row r="38">
      <x:c r="A38" s="21" t="str">
        <x:v>25PGDM033</x:v>
      </x:c>
      <x:c r="B38" s="17" t="str">
        <x:v>Nitesh Kumar Chourasia</x:v>
      </x:c>
      <x:c r="C38" s="17" t="str">
        <x:v>27-Nitesh.Chourasia@fiib.edu.in</x:v>
      </x:c>
      <x:c r="D38" s="17" t="str">
        <x:v>91-6296264727</x:v>
      </x:c>
      <x:c r="E38" s="20" t="n">
        <x:v>0</x:v>
      </x:c>
      <x:c r="F38" s="20" t="n">
        <x:v>0</x:v>
      </x:c>
      <x:c r="G38" s="19" t="n">
        <x:v>0</x:v>
      </x:c>
      <x:c r="H38" s="18" t="n">
        <x:f>IF(E38&gt;0,E38+ROW()/100000,0)</x:f>
        <x:v>0</x:v>
      </x:c>
    </x:row>
    <x:row r="39">
      <x:c r="A39" s="21" t="str">
        <x:v>25PGDM034</x:v>
      </x:c>
      <x:c r="B39" s="17" t="str">
        <x:v>Omjee</x:v>
      </x:c>
      <x:c r="C39" s="17" t="str">
        <x:v>27-Omjee@fiib.edu.in</x:v>
      </x:c>
      <x:c r="D39" s="17" t="str">
        <x:v>91-7644802849</x:v>
      </x:c>
      <x:c r="E39" s="20" t="n">
        <x:v>0</x:v>
      </x:c>
      <x:c r="F39" s="20" t="n">
        <x:v>0</x:v>
      </x:c>
      <x:c r="G39" s="19" t="n">
        <x:v>0</x:v>
      </x:c>
      <x:c r="H39" s="18" t="n">
        <x:f>IF(E39&gt;0,E39+ROW()/100000,0)</x:f>
        <x:v>0</x:v>
      </x:c>
    </x:row>
    <x:row r="40">
      <x:c r="A40" s="21" t="str">
        <x:v>25PGDM035</x:v>
      </x:c>
      <x:c r="B40" s="17" t="str">
        <x:v>Palak Gulati</x:v>
      </x:c>
      <x:c r="C40" s="17" t="str">
        <x:v>27-Palak.Gulati@fiib.edu.in</x:v>
      </x:c>
      <x:c r="D40" s="17" t="str">
        <x:v>91-7982978332</x:v>
      </x:c>
      <x:c r="E40" s="20" t="n">
        <x:v>0</x:v>
      </x:c>
      <x:c r="F40" s="20" t="n">
        <x:v>0</x:v>
      </x:c>
      <x:c r="G40" s="19" t="n">
        <x:v>0</x:v>
      </x:c>
      <x:c r="H40" s="18" t="n">
        <x:f>IF(E40&gt;0,E40+ROW()/100000,0)</x:f>
        <x:v>0</x:v>
      </x:c>
    </x:row>
    <x:row r="41">
      <x:c r="A41" s="21" t="str">
        <x:v>25PGDM036</x:v>
      </x:c>
      <x:c r="B41" s="17" t="str">
        <x:v>Parl Gupta</x:v>
      </x:c>
      <x:c r="C41" s="17" t="str">
        <x:v>27-Parl.Gupta@fiib.edu.in</x:v>
      </x:c>
      <x:c r="D41" s="17" t="str">
        <x:v>91-7078310841</x:v>
      </x:c>
      <x:c r="E41" s="20" t="n">
        <x:v>0</x:v>
      </x:c>
      <x:c r="F41" s="20" t="n">
        <x:v>0</x:v>
      </x:c>
      <x:c r="G41" s="19" t="n">
        <x:v>0</x:v>
      </x:c>
      <x:c r="H41" s="18" t="n">
        <x:f>IF(E41&gt;0,E41+ROW()/100000,0)</x:f>
        <x:v>0</x:v>
      </x:c>
    </x:row>
    <x:row r="42">
      <x:c r="A42" s="21" t="str">
        <x:v>25PGDM037</x:v>
      </x:c>
      <x:c r="B42" s="17" t="str">
        <x:v>Parth Yadav</x:v>
      </x:c>
      <x:c r="C42" s="17" t="str">
        <x:v>27-Parth.Yadav@fiib.edu.in</x:v>
      </x:c>
      <x:c r="D42" s="17" t="str">
        <x:v>91-8130272134</x:v>
      </x:c>
      <x:c r="E42" s="20" t="n">
        <x:v>0</x:v>
      </x:c>
      <x:c r="F42" s="20" t="n">
        <x:v>0</x:v>
      </x:c>
      <x:c r="G42" s="19" t="n">
        <x:v>0</x:v>
      </x:c>
      <x:c r="H42" s="18" t="n">
        <x:f>IF(E42&gt;0,E42+ROW()/100000,0)</x:f>
        <x:v>0</x:v>
      </x:c>
    </x:row>
    <x:row r="43">
      <x:c r="A43" s="21" t="str">
        <x:v>25PGDM038</x:v>
      </x:c>
      <x:c r="B43" s="17" t="str">
        <x:v>Rishab Jain</x:v>
      </x:c>
      <x:c r="C43" s="17" t="str">
        <x:v>27-Rishab.Jain@fiib.edu.in</x:v>
      </x:c>
      <x:c r="D43" s="17" t="str">
        <x:v>91-9149438397</x:v>
      </x:c>
      <x:c r="E43" s="20" t="n">
        <x:v>0</x:v>
      </x:c>
      <x:c r="F43" s="20" t="n">
        <x:v>0</x:v>
      </x:c>
      <x:c r="G43" s="19" t="n">
        <x:v>0</x:v>
      </x:c>
      <x:c r="H43" s="18" t="n">
        <x:f>IF(E43&gt;0,E43+ROW()/100000,0)</x:f>
        <x:v>0</x:v>
      </x:c>
    </x:row>
    <x:row r="44">
      <x:c r="A44" s="21" t="str">
        <x:v>25PGDM039</x:v>
      </x:c>
      <x:c r="B44" s="17" t="str">
        <x:v>Riya Gupta</x:v>
      </x:c>
      <x:c r="C44" s="17" t="str">
        <x:v>27-Riya.Gupta@fiib.edu.in</x:v>
      </x:c>
      <x:c r="D44" s="17" t="str">
        <x:v>91-9521586734</x:v>
      </x:c>
      <x:c r="E44" s="20" t="n">
        <x:v>0</x:v>
      </x:c>
      <x:c r="F44" s="20" t="n">
        <x:v>0</x:v>
      </x:c>
      <x:c r="G44" s="19" t="n">
        <x:v>0</x:v>
      </x:c>
      <x:c r="H44" s="18" t="n">
        <x:f>IF(E44&gt;0,E44+ROW()/100000,0)</x:f>
        <x:v>0</x:v>
      </x:c>
    </x:row>
    <x:row r="45">
      <x:c r="A45" s="21" t="str">
        <x:v>25PGDM040</x:v>
      </x:c>
      <x:c r="B45" s="17" t="str">
        <x:v>Riya Jain</x:v>
      </x:c>
      <x:c r="C45" s="17" t="str">
        <x:v>27-Riya.Jain@fiib.edu.in</x:v>
      </x:c>
      <x:c r="D45" s="17" t="str">
        <x:v>91-8890035509</x:v>
      </x:c>
      <x:c r="E45" s="20" t="n">
        <x:v>0</x:v>
      </x:c>
      <x:c r="F45" s="20" t="n">
        <x:v>0</x:v>
      </x:c>
      <x:c r="G45" s="19" t="n">
        <x:v>0</x:v>
      </x:c>
      <x:c r="H45" s="18" t="n">
        <x:f>IF(E45&gt;0,E45+ROW()/100000,0)</x:f>
        <x:v>0</x:v>
      </x:c>
    </x:row>
    <x:row r="46">
      <x:c r="A46" s="21" t="str">
        <x:v>25PGDM041</x:v>
      </x:c>
      <x:c r="B46" s="17" t="str">
        <x:v>Riya Rawat</x:v>
      </x:c>
      <x:c r="C46" s="17" t="str">
        <x:v>27-Riya.Rawat@fiib.edu.in</x:v>
      </x:c>
      <x:c r="D46" s="17" t="str">
        <x:v>91-8532857488</x:v>
      </x:c>
      <x:c r="E46" s="20" t="n">
        <x:v>0</x:v>
      </x:c>
      <x:c r="F46" s="20" t="n">
        <x:v>0</x:v>
      </x:c>
      <x:c r="G46" s="19" t="n">
        <x:v>0</x:v>
      </x:c>
      <x:c r="H46" s="18" t="n">
        <x:f>IF(E46&gt;0,E46+ROW()/100000,0)</x:f>
        <x:v>0</x:v>
      </x:c>
    </x:row>
    <x:row r="47">
      <x:c r="A47" s="21" t="str">
        <x:v>25PGDM042</x:v>
      </x:c>
      <x:c r="B47" s="17" t="str">
        <x:v>Sanah Elsa Chacko</x:v>
      </x:c>
      <x:c r="C47" s="17" t="str">
        <x:v>27-Sanah.Chacko@fiib.edu.in</x:v>
      </x:c>
      <x:c r="D47" s="17" t="str">
        <x:v>91-9211370937</x:v>
      </x:c>
      <x:c r="E47" s="20" t="n">
        <x:v>0</x:v>
      </x:c>
      <x:c r="F47" s="20" t="n">
        <x:v>0</x:v>
      </x:c>
      <x:c r="G47" s="19" t="n">
        <x:v>0</x:v>
      </x:c>
      <x:c r="H47" s="18" t="n">
        <x:f>IF(E47&gt;0,E47+ROW()/100000,0)</x:f>
        <x:v>0</x:v>
      </x:c>
    </x:row>
    <x:row r="48">
      <x:c r="A48" s="21" t="str">
        <x:v>25PGDM043</x:v>
      </x:c>
      <x:c r="B48" s="17" t="str">
        <x:v>Saransh Singh</x:v>
      </x:c>
      <x:c r="C48" s="17" t="str">
        <x:v>27-Saransh.Singh@fiib.edu.in</x:v>
      </x:c>
      <x:c r="D48" s="17" t="str">
        <x:v>91-9555045938</x:v>
      </x:c>
      <x:c r="E48" s="20" t="n">
        <x:v>0</x:v>
      </x:c>
      <x:c r="F48" s="20" t="n">
        <x:v>0</x:v>
      </x:c>
      <x:c r="G48" s="19" t="n">
        <x:v>0</x:v>
      </x:c>
      <x:c r="H48" s="18" t="n">
        <x:f>IF(E48&gt;0,E48+ROW()/100000,0)</x:f>
        <x:v>0</x:v>
      </x:c>
    </x:row>
    <x:row r="49">
      <x:c r="A49" s="21" t="str">
        <x:v>25PGDM044</x:v>
      </x:c>
      <x:c r="B49" s="17" t="str">
        <x:v>Shivam Kumar</x:v>
      </x:c>
      <x:c r="C49" s="17" t="str">
        <x:v>27-Shivam.Kumar@fiib.edu.in</x:v>
      </x:c>
      <x:c r="D49" s="17" t="str">
        <x:v>91-9031473406</x:v>
      </x:c>
      <x:c r="E49" s="20" t="n">
        <x:v>0</x:v>
      </x:c>
      <x:c r="F49" s="20" t="n">
        <x:v>0</x:v>
      </x:c>
      <x:c r="G49" s="19" t="n">
        <x:v>0</x:v>
      </x:c>
      <x:c r="H49" s="18" t="n">
        <x:f>IF(E49&gt;0,E49+ROW()/100000,0)</x:f>
        <x:v>0</x:v>
      </x:c>
    </x:row>
    <x:row r="50">
      <x:c r="A50" s="21" t="str">
        <x:v>25PGDM045</x:v>
      </x:c>
      <x:c r="B50" s="17" t="str">
        <x:v>Somya Soni</x:v>
      </x:c>
      <x:c r="C50" s="17" t="str">
        <x:v>27-Somya.Soni@fiib.edu.in</x:v>
      </x:c>
      <x:c r="D50" s="17" t="str">
        <x:v>91-8603278849</x:v>
      </x:c>
      <x:c r="E50" s="20" t="n">
        <x:v>0</x:v>
      </x:c>
      <x:c r="F50" s="20" t="n">
        <x:v>0</x:v>
      </x:c>
      <x:c r="G50" s="19" t="n">
        <x:v>0</x:v>
      </x:c>
      <x:c r="H50" s="18" t="n">
        <x:f>IF(E50&gt;0,E50+ROW()/100000,0)</x:f>
        <x:v>0</x:v>
      </x:c>
    </x:row>
    <x:row r="51">
      <x:c r="A51" s="21" t="str">
        <x:v>25PGDM046</x:v>
      </x:c>
      <x:c r="B51" s="17" t="str">
        <x:v>Sss Balamurali</x:v>
      </x:c>
      <x:c r="C51" s="17" t="str">
        <x:v>27-Sss.Balamurali@fiib.edu.in</x:v>
      </x:c>
      <x:c r="D51" s="17" t="str">
        <x:v>91-9990725682</x:v>
      </x:c>
      <x:c r="E51" s="20" t="n">
        <x:v>0</x:v>
      </x:c>
      <x:c r="F51" s="20" t="n">
        <x:v>0</x:v>
      </x:c>
      <x:c r="G51" s="19" t="n">
        <x:v>0</x:v>
      </x:c>
      <x:c r="H51" s="18" t="n">
        <x:f>IF(E51&gt;0,E51+ROW()/100000,0)</x:f>
        <x:v>0</x:v>
      </x:c>
    </x:row>
    <x:row r="52">
      <x:c r="A52" s="21" t="str">
        <x:v>25PGDM047</x:v>
      </x:c>
      <x:c r="B52" s="17" t="str">
        <x:v>Swati Bahety</x:v>
      </x:c>
      <x:c r="C52" s="17" t="str">
        <x:v>27-Swati.Bahety@fiib.edu.in</x:v>
      </x:c>
      <x:c r="D52" s="17" t="str">
        <x:v>91-6397910377</x:v>
      </x:c>
      <x:c r="E52" s="20" t="n">
        <x:v>0</x:v>
      </x:c>
      <x:c r="F52" s="20" t="n">
        <x:v>0</x:v>
      </x:c>
      <x:c r="G52" s="19" t="n">
        <x:v>0</x:v>
      </x:c>
      <x:c r="H52" s="18" t="n">
        <x:f>IF(E52&gt;0,E52+ROW()/100000,0)</x:f>
        <x:v>0</x:v>
      </x:c>
    </x:row>
    <x:row r="53">
      <x:c r="A53" s="21" t="str">
        <x:v>25PGDM048</x:v>
      </x:c>
      <x:c r="B53" s="17" t="str">
        <x:v>Tanisha Agarwal</x:v>
      </x:c>
      <x:c r="C53" s="17" t="str">
        <x:v>27-Tanisha.Agarwal@fiib.edu.in</x:v>
      </x:c>
      <x:c r="D53" s="17" t="str">
        <x:v>91-8723957845</x:v>
      </x:c>
      <x:c r="E53" s="20" t="n">
        <x:v>0</x:v>
      </x:c>
      <x:c r="F53" s="20" t="n">
        <x:v>0</x:v>
      </x:c>
      <x:c r="G53" s="19" t="n">
        <x:v>0</x:v>
      </x:c>
      <x:c r="H53" s="18" t="n">
        <x:f>IF(E53&gt;0,E53+ROW()/100000,0)</x:f>
        <x:v>0</x:v>
      </x:c>
    </x:row>
    <x:row r="54">
      <x:c r="A54" s="21" t="str">
        <x:v>25PGDM049</x:v>
      </x:c>
      <x:c r="B54" s="17" t="str">
        <x:v>Tushar Thakur</x:v>
      </x:c>
      <x:c r="C54" s="17" t="str">
        <x:v>27-Tushar.Thakur@fiib.edu.in</x:v>
      </x:c>
      <x:c r="D54" s="17" t="str">
        <x:v>91-9334314870</x:v>
      </x:c>
      <x:c r="E54" s="20" t="n">
        <x:v>0</x:v>
      </x:c>
      <x:c r="F54" s="20" t="n">
        <x:v>0</x:v>
      </x:c>
      <x:c r="G54" s="19" t="n">
        <x:v>0</x:v>
      </x:c>
      <x:c r="H54" s="18" t="n">
        <x:f>IF(E54&gt;0,E54+ROW()/100000,0)</x:f>
        <x:v>0</x:v>
      </x:c>
    </x:row>
    <x:row r="55">
      <x:c r="A55" s="21" t="str">
        <x:v>25PGDM050</x:v>
      </x:c>
      <x:c r="B55" s="17" t="str">
        <x:v>Utkarsh Singh</x:v>
      </x:c>
      <x:c r="C55" s="17" t="str">
        <x:v>27-Utkarsh.Singh@fiib.edu.in</x:v>
      </x:c>
      <x:c r="D55" s="17" t="str">
        <x:v>91-9540912133</x:v>
      </x:c>
      <x:c r="E55" s="20" t="n">
        <x:v>0</x:v>
      </x:c>
      <x:c r="F55" s="20" t="n">
        <x:v>0</x:v>
      </x:c>
      <x:c r="G55" s="19" t="n">
        <x:v>0</x:v>
      </x:c>
      <x:c r="H55" s="18" t="n">
        <x:f>IF(E55&gt;0,E55+ROW()/100000,0)</x:f>
        <x:v>0</x:v>
      </x:c>
    </x:row>
    <x:row r="56">
      <x:c r="A56" s="21" t="str">
        <x:v>25PGDM051</x:v>
      </x:c>
      <x:c r="B56" s="17" t="str">
        <x:v>Yash Arora</x:v>
      </x:c>
      <x:c r="C56" s="17" t="str">
        <x:v>27-Yash.Arora@fiib.edu.in</x:v>
      </x:c>
      <x:c r="D56" s="17" t="str">
        <x:v>91-7737395919</x:v>
      </x:c>
      <x:c r="E56" s="20" t="n">
        <x:v>0</x:v>
      </x:c>
      <x:c r="F56" s="20" t="n">
        <x:v>0</x:v>
      </x:c>
      <x:c r="G56" s="19" t="n">
        <x:v>0</x:v>
      </x:c>
      <x:c r="H56" s="18" t="n">
        <x:f>IF(E56&gt;0,E56+ROW()/100000,0)</x:f>
        <x:v>0</x:v>
      </x:c>
    </x:row>
    <x:row r="57">
      <x:c r="A57" s="21" t="str">
        <x:v>25PGDM052</x:v>
      </x:c>
      <x:c r="B57" s="17" t="str">
        <x:v>Yash Bhuwania</x:v>
      </x:c>
      <x:c r="C57" s="17" t="str">
        <x:v>27-Yash.Bhuwania@fiib.edu.in</x:v>
      </x:c>
      <x:c r="D57" s="17" t="str">
        <x:v>91-9830514486</x:v>
      </x:c>
      <x:c r="E57" s="20" t="n">
        <x:v>0</x:v>
      </x:c>
      <x:c r="F57" s="20" t="n">
        <x:v>0</x:v>
      </x:c>
      <x:c r="G57" s="19" t="n">
        <x:v>0</x:v>
      </x:c>
      <x:c r="H57" s="18" t="n">
        <x:f>IF(E57&gt;0,E57+ROW()/100000,0)</x:f>
        <x:v>0</x:v>
      </x:c>
    </x:row>
    <x:row r="58">
      <x:c r="A58" s="21" t="str">
        <x:v>25PGDM053</x:v>
      </x:c>
      <x:c r="B58" s="17" t="str">
        <x:v>Hunny Gupta</x:v>
      </x:c>
      <x:c r="C58" s="17" t="str">
        <x:v>27-Hunny.Gupta@fiib.edu.in</x:v>
      </x:c>
      <x:c r="D58" s="17" t="str">
        <x:v>91-9302311712</x:v>
      </x:c>
      <x:c r="E58" s="20" t="n">
        <x:v>0</x:v>
      </x:c>
      <x:c r="F58" s="20" t="n">
        <x:v>0</x:v>
      </x:c>
      <x:c r="G58" s="19" t="n">
        <x:v>0</x:v>
      </x:c>
      <x:c r="H58" s="18" t="n">
        <x:f>IF(E58&gt;0,E58+ROW()/100000,0)</x:f>
        <x:v>0</x:v>
      </x:c>
    </x:row>
    <x:row r="59">
      <x:c r="A59" s="21" t="str">
        <x:v>25PGDM054</x:v>
      </x:c>
      <x:c r="B59" s="17" t="str">
        <x:v>Anuj Kaushik</x:v>
      </x:c>
      <x:c r="C59" s="17" t="str">
        <x:v>27-Anuj.Kaushik@fiib.edu.in</x:v>
      </x:c>
      <x:c r="D59" s="17" t="str">
        <x:v>91-8800196562</x:v>
      </x:c>
      <x:c r="E59" s="20" t="n">
        <x:v>0</x:v>
      </x:c>
      <x:c r="F59" s="20" t="n">
        <x:v>0</x:v>
      </x:c>
      <x:c r="G59" s="19" t="n">
        <x:v>0</x:v>
      </x:c>
      <x:c r="H59" s="18" t="n">
        <x:f>IF(E59&gt;0,E59+ROW()/100000,0)</x:f>
        <x:v>0</x:v>
      </x:c>
    </x:row>
    <x:row r="60">
      <x:c r="A60" s="21" t="str">
        <x:v>25PGDM055</x:v>
      </x:c>
      <x:c r="B60" s="17" t="str">
        <x:v>Anushka Nagar</x:v>
      </x:c>
      <x:c r="C60" s="17" t="str">
        <x:v>27-Anushka.Nagar@fiib.edu.in</x:v>
      </x:c>
      <x:c r="D60" s="17" t="str">
        <x:v>91-9560852588</x:v>
      </x:c>
      <x:c r="E60" s="20" t="n">
        <x:v>0</x:v>
      </x:c>
      <x:c r="F60" s="20" t="n">
        <x:v>0</x:v>
      </x:c>
      <x:c r="G60" s="19" t="n">
        <x:v>0</x:v>
      </x:c>
      <x:c r="H60" s="18" t="n">
        <x:f>IF(E60&gt;0,E60+ROW()/100000,0)</x:f>
        <x:v>0</x:v>
      </x:c>
    </x:row>
    <x:row r="61">
      <x:c r="A61" s="21" t="str">
        <x:v>25PGDM056</x:v>
      </x:c>
      <x:c r="B61" s="17" t="str">
        <x:v>Ritik Choubey</x:v>
      </x:c>
      <x:c r="C61" s="17" t="str">
        <x:v>27-Ritik.Choubey@fiib.edu.in</x:v>
      </x:c>
      <x:c r="D61" s="17" t="str">
        <x:v>91-8770016337</x:v>
      </x:c>
      <x:c r="E61" s="20" t="n">
        <x:v>0</x:v>
      </x:c>
      <x:c r="F61" s="20" t="n">
        <x:v>0</x:v>
      </x:c>
      <x:c r="G61" s="19" t="n">
        <x:v>0</x:v>
      </x:c>
      <x:c r="H61" s="18" t="n">
        <x:f>IF(E61&gt;0,E61+ROW()/100000,0)</x:f>
        <x:v>0</x:v>
      </x:c>
    </x:row>
    <x:row r="62">
      <x:c r="A62" s="21" t="str">
        <x:v>25PGDM059</x:v>
      </x:c>
      <x:c r="B62" s="17" t="str">
        <x:v>Juhi Varshney</x:v>
      </x:c>
      <x:c r="C62" s="17" t="str">
        <x:v>27-juhi.varshney@fiib.edu.in</x:v>
      </x:c>
      <x:c r="D62" s="17" t="str">
        <x:v>91-7906491109</x:v>
      </x:c>
      <x:c r="E62" s="20" t="n">
        <x:v>0</x:v>
      </x:c>
      <x:c r="F62" s="20" t="n">
        <x:v>0</x:v>
      </x:c>
      <x:c r="G62" s="19" t="n">
        <x:v>0</x:v>
      </x:c>
      <x:c r="H62" s="18" t="n">
        <x:f>IF(E62&gt;0,E62+ROW()/100000,0)</x:f>
        <x:v>0</x:v>
      </x:c>
    </x:row>
    <x:row r="63">
      <x:c r="A63" s="21" t="str">
        <x:v>25PGDM062</x:v>
      </x:c>
      <x:c r="B63" s="17" t="str">
        <x:v>Aditya Singh Tomar</x:v>
      </x:c>
      <x:c r="C63" s="17" t="str">
        <x:v>27-Aditya.Tomar@fiib.edu.in</x:v>
      </x:c>
      <x:c r="D63" s="17" t="str">
        <x:v>91-9691207250</x:v>
      </x:c>
      <x:c r="E63" s="20" t="n">
        <x:v>0</x:v>
      </x:c>
      <x:c r="F63" s="20" t="n">
        <x:v>0</x:v>
      </x:c>
      <x:c r="G63" s="19" t="n">
        <x:v>0</x:v>
      </x:c>
      <x:c r="H63" s="18" t="n">
        <x:f>IF(E63&gt;0,E63+ROW()/100000,0)</x:f>
        <x:v>0</x:v>
      </x:c>
    </x:row>
    <x:row r="64">
      <x:c r="A64" s="21" t="str">
        <x:v>25PGDM063</x:v>
      </x:c>
      <x:c r="B64" s="17" t="str">
        <x:v>Anurag Mishra</x:v>
      </x:c>
      <x:c r="C64" s="17" t="str">
        <x:v>27-Anurag.Mishra@fiib.edu.in</x:v>
      </x:c>
      <x:c r="D64" s="17" t="str">
        <x:v>91-6352001352</x:v>
      </x:c>
      <x:c r="E64" s="20" t="n">
        <x:v>0</x:v>
      </x:c>
      <x:c r="F64" s="20" t="n">
        <x:v>0</x:v>
      </x:c>
      <x:c r="G64" s="19" t="n">
        <x:v>0</x:v>
      </x:c>
      <x:c r="H64" s="18" t="n">
        <x:f>IF(E64&gt;0,E64+ROW()/100000,0)</x:f>
        <x:v>0</x:v>
      </x:c>
    </x:row>
    <x:row r="65">
      <x:c r="A65" s="21" t="str">
        <x:v>25PGDM064</x:v>
      </x:c>
      <x:c r="B65" s="17" t="str">
        <x:v>Aparajita Singh</x:v>
      </x:c>
      <x:c r="C65" s="17" t="str">
        <x:v>27-Aparajita.Singh@fiib.edu.in</x:v>
      </x:c>
      <x:c r="D65" s="17" t="str">
        <x:v>91-9162334545</x:v>
      </x:c>
      <x:c r="E65" s="20" t="n">
        <x:v>0</x:v>
      </x:c>
      <x:c r="F65" s="20" t="n">
        <x:v>0</x:v>
      </x:c>
      <x:c r="G65" s="19" t="n">
        <x:v>0</x:v>
      </x:c>
      <x:c r="H65" s="18" t="n">
        <x:f>IF(E65&gt;0,E65+ROW()/100000,0)</x:f>
        <x:v>0</x:v>
      </x:c>
    </x:row>
    <x:row r="66">
      <x:c r="A66" s="21" t="str">
        <x:v>25PGDM065</x:v>
      </x:c>
      <x:c r="B66" s="17" t="str">
        <x:v>Arjun Yadav</x:v>
      </x:c>
      <x:c r="C66" s="17" t="str">
        <x:v>27-Arjun.Yadav@fiib.edu.in</x:v>
      </x:c>
      <x:c r="D66" s="17" t="str">
        <x:v>91-8953144758</x:v>
      </x:c>
      <x:c r="E66" s="20" t="n">
        <x:v>0</x:v>
      </x:c>
      <x:c r="F66" s="20" t="n">
        <x:v>0</x:v>
      </x:c>
      <x:c r="G66" s="19" t="n">
        <x:v>0</x:v>
      </x:c>
      <x:c r="H66" s="18" t="n">
        <x:f>IF(E66&gt;0,E66+ROW()/100000,0)</x:f>
        <x:v>0</x:v>
      </x:c>
    </x:row>
    <x:row r="67">
      <x:c r="A67" s="21" t="str">
        <x:v>25PGDM066</x:v>
      </x:c>
      <x:c r="B67" s="17" t="str">
        <x:v>Arpit Agarwal</x:v>
      </x:c>
      <x:c r="C67" s="17" t="str">
        <x:v>27-Arpit.Agarwal1@fiib.edu.in</x:v>
      </x:c>
      <x:c r="D67" s="17" t="str">
        <x:v>91-7340445825</x:v>
      </x:c>
      <x:c r="E67" s="20" t="n">
        <x:v>0</x:v>
      </x:c>
      <x:c r="F67" s="20" t="n">
        <x:v>0</x:v>
      </x:c>
      <x:c r="G67" s="19" t="n">
        <x:v>0</x:v>
      </x:c>
      <x:c r="H67" s="18" t="n">
        <x:f>IF(E67&gt;0,E67+ROW()/100000,0)</x:f>
        <x:v>0</x:v>
      </x:c>
    </x:row>
    <x:row r="68">
      <x:c r="A68" s="21" t="str">
        <x:v>25PGDM067</x:v>
      </x:c>
      <x:c r="B68" s="17" t="str">
        <x:v>Aruneshwar Thakur</x:v>
      </x:c>
      <x:c r="C68" s="17" t="str">
        <x:v>27-Aruneshwar.Thakur@fiib.edu.in</x:v>
      </x:c>
      <x:c r="D68" s="17" t="str">
        <x:v>91-6230314426</x:v>
      </x:c>
      <x:c r="E68" s="20" t="n">
        <x:v>0</x:v>
      </x:c>
      <x:c r="F68" s="20" t="n">
        <x:v>0</x:v>
      </x:c>
      <x:c r="G68" s="19" t="n">
        <x:v>0</x:v>
      </x:c>
      <x:c r="H68" s="18" t="n">
        <x:f>IF(E68&gt;0,E68+ROW()/100000,0)</x:f>
        <x:v>0</x:v>
      </x:c>
    </x:row>
    <x:row r="69">
      <x:c r="A69" s="21" t="str">
        <x:v>25PGDM068</x:v>
      </x:c>
      <x:c r="B69" s="17" t="str">
        <x:v>Ayushi Goswami</x:v>
      </x:c>
      <x:c r="C69" s="17" t="str">
        <x:v>27-Ayushi.Goswami@fiib.edu.in</x:v>
      </x:c>
      <x:c r="D69" s="17" t="str">
        <x:v>91-6387070364</x:v>
      </x:c>
      <x:c r="E69" s="20" t="n">
        <x:v>0</x:v>
      </x:c>
      <x:c r="F69" s="20" t="n">
        <x:v>0</x:v>
      </x:c>
      <x:c r="G69" s="19" t="n">
        <x:v>0</x:v>
      </x:c>
      <x:c r="H69" s="18" t="n">
        <x:f>IF(E69&gt;0,E69+ROW()/100000,0)</x:f>
        <x:v>0</x:v>
      </x:c>
    </x:row>
    <x:row r="70">
      <x:c r="A70" s="21" t="str">
        <x:v>25PGDM069</x:v>
      </x:c>
      <x:c r="B70" s="17" t="str">
        <x:v>Ayushi Singh</x:v>
      </x:c>
      <x:c r="C70" s="17" t="str">
        <x:v>27-Ayushi.Singh@fiib.edu.in</x:v>
      </x:c>
      <x:c r="D70" s="17" t="str">
        <x:v>91-9140800368</x:v>
      </x:c>
      <x:c r="E70" s="20" t="n">
        <x:v>0</x:v>
      </x:c>
      <x:c r="F70" s="20" t="n">
        <x:v>0</x:v>
      </x:c>
      <x:c r="G70" s="19" t="n">
        <x:v>0</x:v>
      </x:c>
      <x:c r="H70" s="18" t="n">
        <x:f>IF(E70&gt;0,E70+ROW()/100000,0)</x:f>
        <x:v>0</x:v>
      </x:c>
    </x:row>
    <x:row r="71">
      <x:c r="A71" s="21" t="str">
        <x:v>25PGDM070</x:v>
      </x:c>
      <x:c r="B71" s="17" t="str">
        <x:v>Ayushman Buttan</x:v>
      </x:c>
      <x:c r="C71" s="17" t="str">
        <x:v>27-Ayushman.Buttan@fiib.edu.in</x:v>
      </x:c>
      <x:c r="D71" s="17" t="str">
        <x:v>91-9625530574</x:v>
      </x:c>
      <x:c r="E71" s="20" t="n">
        <x:v>0</x:v>
      </x:c>
      <x:c r="F71" s="20" t="n">
        <x:v>0</x:v>
      </x:c>
      <x:c r="G71" s="19" t="n">
        <x:v>0</x:v>
      </x:c>
      <x:c r="H71" s="18" t="n">
        <x:f>IF(E71&gt;0,E71+ROW()/100000,0)</x:f>
        <x:v>0</x:v>
      </x:c>
    </x:row>
    <x:row r="72">
      <x:c r="A72" s="21" t="str">
        <x:v>25PGDM071</x:v>
      </x:c>
      <x:c r="B72" s="17" t="str">
        <x:v>Daksha Kapil</x:v>
      </x:c>
      <x:c r="C72" s="17" t="str">
        <x:v>27-Daksha.Kapil@fiib.edu.in</x:v>
      </x:c>
      <x:c r="D72" s="17" t="str">
        <x:v>91-9027370049</x:v>
      </x:c>
      <x:c r="E72" s="20" t="n">
        <x:v>0</x:v>
      </x:c>
      <x:c r="F72" s="20" t="n">
        <x:v>0</x:v>
      </x:c>
      <x:c r="G72" s="19" t="n">
        <x:v>0</x:v>
      </x:c>
      <x:c r="H72" s="18" t="n">
        <x:f>IF(E72&gt;0,E72+ROW()/100000,0)</x:f>
        <x:v>0</x:v>
      </x:c>
    </x:row>
    <x:row r="73">
      <x:c r="A73" s="21" t="str">
        <x:v>25PGDM072</x:v>
      </x:c>
      <x:c r="B73" s="17" t="str">
        <x:v>Daniel Malsawmtluanga</x:v>
      </x:c>
      <x:c r="C73" s="17" t="str">
        <x:v>27-Daniel.Malsawmtluanga@fiib.edu.in</x:v>
      </x:c>
      <x:c r="D73" s="17" t="str">
        <x:v>91-6909703997</x:v>
      </x:c>
      <x:c r="E73" s="20" t="n">
        <x:v>0</x:v>
      </x:c>
      <x:c r="F73" s="20" t="n">
        <x:v>0</x:v>
      </x:c>
      <x:c r="G73" s="19" t="n">
        <x:v>0</x:v>
      </x:c>
      <x:c r="H73" s="18" t="n">
        <x:f>IF(E73&gt;0,E73+ROW()/100000,0)</x:f>
        <x:v>0</x:v>
      </x:c>
    </x:row>
    <x:row r="74">
      <x:c r="A74" s="21" t="str">
        <x:v>25PGDM073</x:v>
      </x:c>
      <x:c r="B74" s="17" t="str">
        <x:v>Dev Bhatia</x:v>
      </x:c>
      <x:c r="C74" s="17" t="str">
        <x:v>27-Dev.Bhatia@fiib.edu.in</x:v>
      </x:c>
      <x:c r="D74" s="17" t="str">
        <x:v>91-7701833869</x:v>
      </x:c>
      <x:c r="E74" s="20" t="n">
        <x:v>0</x:v>
      </x:c>
      <x:c r="F74" s="20" t="n">
        <x:v>0</x:v>
      </x:c>
      <x:c r="G74" s="19" t="n">
        <x:v>0</x:v>
      </x:c>
      <x:c r="H74" s="18" t="n">
        <x:f>IF(E74&gt;0,E74+ROW()/100000,0)</x:f>
        <x:v>0</x:v>
      </x:c>
    </x:row>
    <x:row r="75">
      <x:c r="A75" s="21" t="str">
        <x:v>25PGDM074</x:v>
      </x:c>
      <x:c r="B75" s="17" t="str">
        <x:v>Devansh Mishra</x:v>
      </x:c>
      <x:c r="C75" s="17" t="str">
        <x:v>27-Devansh.Mishra@fiib.edu.in</x:v>
      </x:c>
      <x:c r="D75" s="17" t="str">
        <x:v>91-9300954037</x:v>
      </x:c>
      <x:c r="E75" s="20" t="n">
        <x:v>0</x:v>
      </x:c>
      <x:c r="F75" s="20" t="n">
        <x:v>0</x:v>
      </x:c>
      <x:c r="G75" s="19" t="n">
        <x:v>0</x:v>
      </x:c>
      <x:c r="H75" s="18" t="n">
        <x:f>IF(E75&gt;0,E75+ROW()/100000,0)</x:f>
        <x:v>0</x:v>
      </x:c>
    </x:row>
    <x:row r="76">
      <x:c r="A76" s="21" t="str">
        <x:v>25PGDM075</x:v>
      </x:c>
      <x:c r="B76" s="17" t="str">
        <x:v>Devanshu Sharma</x:v>
      </x:c>
      <x:c r="C76" s="17" t="str">
        <x:v>27-Devanshu.Sharma@fiib.edu.in</x:v>
      </x:c>
      <x:c r="D76" s="17" t="str">
        <x:v>91-8955958975</x:v>
      </x:c>
      <x:c r="E76" s="20" t="n">
        <x:v>0</x:v>
      </x:c>
      <x:c r="F76" s="20" t="n">
        <x:v>0</x:v>
      </x:c>
      <x:c r="G76" s="19" t="n">
        <x:v>0</x:v>
      </x:c>
      <x:c r="H76" s="18" t="n">
        <x:f>IF(E76&gt;0,E76+ROW()/100000,0)</x:f>
        <x:v>0</x:v>
      </x:c>
    </x:row>
    <x:row r="77">
      <x:c r="A77" s="21" t="str">
        <x:v>25PGDM076</x:v>
      </x:c>
      <x:c r="B77" s="17" t="str">
        <x:v>Dinesh Kumar</x:v>
      </x:c>
      <x:c r="C77" s="17" t="str">
        <x:v>27-Dinesh.Kumar1@fiib.edu.in</x:v>
      </x:c>
      <x:c r="D77" s="17" t="str">
        <x:v>91-9155522680</x:v>
      </x:c>
      <x:c r="E77" s="20" t="n">
        <x:v>0</x:v>
      </x:c>
      <x:c r="F77" s="20" t="n">
        <x:v>0</x:v>
      </x:c>
      <x:c r="G77" s="19" t="n">
        <x:v>0</x:v>
      </x:c>
      <x:c r="H77" s="18" t="n">
        <x:f>IF(E77&gt;0,E77+ROW()/100000,0)</x:f>
        <x:v>0</x:v>
      </x:c>
    </x:row>
    <x:row r="78">
      <x:c r="A78" s="21" t="str">
        <x:v>25PGDM077</x:v>
      </x:c>
      <x:c r="B78" s="17" t="str">
        <x:v>Divyanshu Shandilya</x:v>
      </x:c>
      <x:c r="C78" s="17" t="str">
        <x:v>27-Divyanshu.Shandilya@fiib.edu.in</x:v>
      </x:c>
      <x:c r="D78" s="17" t="str">
        <x:v>91-8340454203</x:v>
      </x:c>
      <x:c r="E78" s="20" t="n">
        <x:v>0</x:v>
      </x:c>
      <x:c r="F78" s="20" t="n">
        <x:v>0</x:v>
      </x:c>
      <x:c r="G78" s="19" t="n">
        <x:v>0</x:v>
      </x:c>
      <x:c r="H78" s="18" t="n">
        <x:f>IF(E78&gt;0,E78+ROW()/100000,0)</x:f>
        <x:v>0</x:v>
      </x:c>
    </x:row>
    <x:row r="79">
      <x:c r="A79" s="21" t="str">
        <x:v>25PGDM078</x:v>
      </x:c>
      <x:c r="B79" s="17" t="str">
        <x:v>Diya Singh Rajawat</x:v>
      </x:c>
      <x:c r="C79" s="17" t="str">
        <x:v>27-Diya.Rajawat@fiib.edu.in</x:v>
      </x:c>
      <x:c r="D79" s="17" t="str">
        <x:v>91-7062399999</x:v>
      </x:c>
      <x:c r="E79" s="20" t="n">
        <x:v>0</x:v>
      </x:c>
      <x:c r="F79" s="20" t="n">
        <x:v>0</x:v>
      </x:c>
      <x:c r="G79" s="19" t="n">
        <x:v>0</x:v>
      </x:c>
      <x:c r="H79" s="18" t="n">
        <x:f>IF(E79&gt;0,E79+ROW()/100000,0)</x:f>
        <x:v>0</x:v>
      </x:c>
    </x:row>
    <x:row r="80">
      <x:c r="A80" s="21" t="str">
        <x:v>25PGDM079</x:v>
      </x:c>
      <x:c r="B80" s="17" t="str">
        <x:v>Harshit Garg</x:v>
      </x:c>
      <x:c r="C80" s="17" t="str">
        <x:v>27-harshit.garg@fiib.edu.in</x:v>
      </x:c>
      <x:c r="D80" s="17" t="str">
        <x:v>91-8287693390</x:v>
      </x:c>
      <x:c r="E80" s="20" t="n">
        <x:v>0</x:v>
      </x:c>
      <x:c r="F80" s="20" t="n">
        <x:v>0</x:v>
      </x:c>
      <x:c r="G80" s="19" t="n">
        <x:v>0</x:v>
      </x:c>
      <x:c r="H80" s="18" t="n">
        <x:f>IF(E80&gt;0,E80+ROW()/100000,0)</x:f>
        <x:v>0</x:v>
      </x:c>
    </x:row>
    <x:row r="81">
      <x:c r="A81" s="21" t="str">
        <x:v>25PGDM080</x:v>
      </x:c>
      <x:c r="B81" s="17" t="str">
        <x:v>Harshita Singh</x:v>
      </x:c>
      <x:c r="C81" s="17" t="str">
        <x:v>27-Harshita.Singh@fiib.edu.in</x:v>
      </x:c>
      <x:c r="D81" s="17" t="str">
        <x:v>91-7992110286</x:v>
      </x:c>
      <x:c r="E81" s="20" t="n">
        <x:v>0</x:v>
      </x:c>
      <x:c r="F81" s="20" t="n">
        <x:v>0</x:v>
      </x:c>
      <x:c r="G81" s="19" t="n">
        <x:v>0</x:v>
      </x:c>
      <x:c r="H81" s="18" t="n">
        <x:f>IF(E81&gt;0,E81+ROW()/100000,0)</x:f>
        <x:v>0</x:v>
      </x:c>
    </x:row>
    <x:row r="82">
      <x:c r="A82" s="21" t="str">
        <x:v>25PGDM081</x:v>
      </x:c>
      <x:c r="B82" s="17" t="str">
        <x:v>Harshita Tripathi</x:v>
      </x:c>
      <x:c r="C82" s="17" t="str">
        <x:v>27-Harshita.Tripathi@fiib.edu.in</x:v>
      </x:c>
      <x:c r="D82" s="17" t="str">
        <x:v>91-8318973651</x:v>
      </x:c>
      <x:c r="E82" s="20" t="n">
        <x:v>0</x:v>
      </x:c>
      <x:c r="F82" s="20" t="n">
        <x:v>0</x:v>
      </x:c>
      <x:c r="G82" s="19" t="n">
        <x:v>0</x:v>
      </x:c>
      <x:c r="H82" s="18" t="n">
        <x:f>IF(E82&gt;0,E82+ROW()/100000,0)</x:f>
        <x:v>0</x:v>
      </x:c>
    </x:row>
    <x:row r="83">
      <x:c r="A83" s="21" t="str">
        <x:v>25PGDM082</x:v>
      </x:c>
      <x:c r="B83" s="17" t="str">
        <x:v>Ishita Chaudhary</x:v>
      </x:c>
      <x:c r="C83" s="17" t="str">
        <x:v>27-Ishita.Chaudhary@fiib.edu.in</x:v>
      </x:c>
      <x:c r="D83" s="17" t="str">
        <x:v>91-9670189902</x:v>
      </x:c>
      <x:c r="E83" s="20" t="n">
        <x:v>0</x:v>
      </x:c>
      <x:c r="F83" s="20" t="n">
        <x:v>0</x:v>
      </x:c>
      <x:c r="G83" s="19" t="n">
        <x:v>0</x:v>
      </x:c>
      <x:c r="H83" s="18" t="n">
        <x:f>IF(E83&gt;0,E83+ROW()/100000,0)</x:f>
        <x:v>0</x:v>
      </x:c>
    </x:row>
    <x:row r="84">
      <x:c r="A84" s="21" t="str">
        <x:v>25PGDM083</x:v>
      </x:c>
      <x:c r="B84" s="17" t="str">
        <x:v>Kapil Gupta</x:v>
      </x:c>
      <x:c r="C84" s="17" t="str">
        <x:v>27-Kapil.Gupta@fiib.edu.in</x:v>
      </x:c>
      <x:c r="D84" s="17" t="str">
        <x:v>91-8780110589</x:v>
      </x:c>
      <x:c r="E84" s="20" t="n">
        <x:v>0</x:v>
      </x:c>
      <x:c r="F84" s="20" t="n">
        <x:v>0</x:v>
      </x:c>
      <x:c r="G84" s="19" t="n">
        <x:v>0</x:v>
      </x:c>
      <x:c r="H84" s="18" t="n">
        <x:f>IF(E84&gt;0,E84+ROW()/100000,0)</x:f>
        <x:v>0</x:v>
      </x:c>
    </x:row>
    <x:row r="85">
      <x:c r="A85" s="21" t="str">
        <x:v>25PGDM084</x:v>
      </x:c>
      <x:c r="B85" s="17" t="str">
        <x:v>Kaushal Goyal</x:v>
      </x:c>
      <x:c r="C85" s="17" t="str">
        <x:v>27-kaushal.goyal@fiib.edu.in</x:v>
      </x:c>
      <x:c r="D85" s="17" t="str">
        <x:v>91-8979753042</x:v>
      </x:c>
      <x:c r="E85" s="20" t="n">
        <x:v>0</x:v>
      </x:c>
      <x:c r="F85" s="20" t="n">
        <x:v>0</x:v>
      </x:c>
      <x:c r="G85" s="19" t="n">
        <x:v>0</x:v>
      </x:c>
      <x:c r="H85" s="18" t="n">
        <x:f>IF(E85&gt;0,E85+ROW()/100000,0)</x:f>
        <x:v>0</x:v>
      </x:c>
    </x:row>
    <x:row r="86">
      <x:c r="A86" s="21" t="str">
        <x:v>25PGDM085</x:v>
      </x:c>
      <x:c r="B86" s="17" t="str">
        <x:v>Ketki</x:v>
      </x:c>
      <x:c r="C86" s="17" t="str">
        <x:v>27-Ketki@fiib.edu.in</x:v>
      </x:c>
      <x:c r="D86" s="17" t="str">
        <x:v>91-9812508996</x:v>
      </x:c>
      <x:c r="E86" s="20" t="n">
        <x:v>0</x:v>
      </x:c>
      <x:c r="F86" s="20" t="n">
        <x:v>0</x:v>
      </x:c>
      <x:c r="G86" s="19" t="n">
        <x:v>0</x:v>
      </x:c>
      <x:c r="H86" s="18" t="n">
        <x:f>IF(E86&gt;0,E86+ROW()/100000,0)</x:f>
        <x:v>0</x:v>
      </x:c>
    </x:row>
    <x:row r="87">
      <x:c r="A87" s="21" t="str">
        <x:v>25PGDM086</x:v>
      </x:c>
      <x:c r="B87" s="17" t="str">
        <x:v>Khushi Choudhary</x:v>
      </x:c>
      <x:c r="C87" s="17" t="str">
        <x:v>27-Khushi.Choudhary@fiib.edu.in</x:v>
      </x:c>
      <x:c r="D87" s="17" t="str">
        <x:v>91-8882956165</x:v>
      </x:c>
      <x:c r="E87" s="20" t="n">
        <x:v>0</x:v>
      </x:c>
      <x:c r="F87" s="20" t="n">
        <x:v>0</x:v>
      </x:c>
      <x:c r="G87" s="19" t="n">
        <x:v>0</x:v>
      </x:c>
      <x:c r="H87" s="18" t="n">
        <x:f>IF(E87&gt;0,E87+ROW()/100000,0)</x:f>
        <x:v>0</x:v>
      </x:c>
    </x:row>
    <x:row r="88">
      <x:c r="A88" s="21" t="str">
        <x:v>25PGDM087</x:v>
      </x:c>
      <x:c r="B88" s="17" t="str">
        <x:v>Khushi Srivastava</x:v>
      </x:c>
      <x:c r="C88" s="17" t="str">
        <x:v>27-Khushi.Srivastava@fiib.edu.in</x:v>
      </x:c>
      <x:c r="D88" s="17" t="str">
        <x:v>91-7754928097</x:v>
      </x:c>
      <x:c r="E88" s="20" t="n">
        <x:v>0</x:v>
      </x:c>
      <x:c r="F88" s="20" t="n">
        <x:v>0</x:v>
      </x:c>
      <x:c r="G88" s="19" t="n">
        <x:v>0</x:v>
      </x:c>
      <x:c r="H88" s="18" t="n">
        <x:f>IF(E88&gt;0,E88+ROW()/100000,0)</x:f>
        <x:v>0</x:v>
      </x:c>
    </x:row>
    <x:row r="89">
      <x:c r="A89" s="21" t="str">
        <x:v>25PGDM088</x:v>
      </x:c>
      <x:c r="B89" s="17" t="str">
        <x:v>Maadhav Verma</x:v>
      </x:c>
      <x:c r="C89" s="17" t="str">
        <x:v>27-Maadhav.Verma@fiib.edu.in</x:v>
      </x:c>
      <x:c r="D89" s="17" t="str">
        <x:v>91-9310016371</x:v>
      </x:c>
      <x:c r="E89" s="20" t="n">
        <x:v>0</x:v>
      </x:c>
      <x:c r="F89" s="20" t="n">
        <x:v>0</x:v>
      </x:c>
      <x:c r="G89" s="19" t="n">
        <x:v>0</x:v>
      </x:c>
      <x:c r="H89" s="18" t="n">
        <x:f>IF(E89&gt;0,E89+ROW()/100000,0)</x:f>
        <x:v>0</x:v>
      </x:c>
    </x:row>
    <x:row r="90">
      <x:c r="A90" s="21" t="str">
        <x:v>25PGDM089</x:v>
      </x:c>
      <x:c r="B90" s="17" t="str">
        <x:v>Madhusudan Sharma</x:v>
      </x:c>
      <x:c r="C90" s="17" t="str">
        <x:v>27-Madhusudan.Sharma@fiib.edu.in</x:v>
      </x:c>
      <x:c r="D90" s="17" t="str">
        <x:v>91-8816993422</x:v>
      </x:c>
      <x:c r="E90" s="20" t="n">
        <x:v>0</x:v>
      </x:c>
      <x:c r="F90" s="20" t="n">
        <x:v>0</x:v>
      </x:c>
      <x:c r="G90" s="19" t="n">
        <x:v>0</x:v>
      </x:c>
      <x:c r="H90" s="18" t="n">
        <x:f>IF(E90&gt;0,E90+ROW()/100000,0)</x:f>
        <x:v>0</x:v>
      </x:c>
    </x:row>
    <x:row r="91">
      <x:c r="A91" s="21" t="str">
        <x:v>25PGDM090</x:v>
      </x:c>
      <x:c r="B91" s="17" t="str">
        <x:v>Mansi Dubey</x:v>
      </x:c>
      <x:c r="C91" s="17" t="str">
        <x:v>27-Mansi.Dubey@fiib.edu.in</x:v>
      </x:c>
      <x:c r="D91" s="17" t="str">
        <x:v>91-6306752332</x:v>
      </x:c>
      <x:c r="E91" s="20" t="n">
        <x:v>0</x:v>
      </x:c>
      <x:c r="F91" s="20" t="n">
        <x:v>0</x:v>
      </x:c>
      <x:c r="G91" s="19" t="n">
        <x:v>0</x:v>
      </x:c>
      <x:c r="H91" s="18" t="n">
        <x:f>IF(E91&gt;0,E91+ROW()/100000,0)</x:f>
        <x:v>0</x:v>
      </x:c>
    </x:row>
    <x:row r="92">
      <x:c r="A92" s="21" t="str">
        <x:v>25PGDM091</x:v>
      </x:c>
      <x:c r="B92" s="17" t="str">
        <x:v>Naman Prajapat</x:v>
      </x:c>
      <x:c r="C92" s="17" t="str">
        <x:v>27-Naman.Prajapat@fiib.edu.in</x:v>
      </x:c>
      <x:c r="D92" s="17" t="str">
        <x:v>91-8290511998</x:v>
      </x:c>
      <x:c r="E92" s="20" t="n">
        <x:v>0</x:v>
      </x:c>
      <x:c r="F92" s="20" t="n">
        <x:v>0</x:v>
      </x:c>
      <x:c r="G92" s="19" t="n">
        <x:v>0</x:v>
      </x:c>
      <x:c r="H92" s="18" t="n">
        <x:f>IF(E92&gt;0,E92+ROW()/100000,0)</x:f>
        <x:v>0</x:v>
      </x:c>
    </x:row>
    <x:row r="93">
      <x:c r="A93" s="21" t="str">
        <x:v>25PGDM092</x:v>
      </x:c>
      <x:c r="B93" s="17" t="str">
        <x:v>Palak Singh</x:v>
      </x:c>
      <x:c r="C93" s="17" t="str">
        <x:v>27-Palak.Singh@fiib.edu.in</x:v>
      </x:c>
      <x:c r="D93" s="17" t="str">
        <x:v>91-7985399227</x:v>
      </x:c>
      <x:c r="E93" s="20" t="n">
        <x:v>0</x:v>
      </x:c>
      <x:c r="F93" s="20" t="n">
        <x:v>0</x:v>
      </x:c>
      <x:c r="G93" s="19" t="n">
        <x:v>0</x:v>
      </x:c>
      <x:c r="H93" s="18" t="n">
        <x:f>IF(E93&gt;0,E93+ROW()/100000,0)</x:f>
        <x:v>0</x:v>
      </x:c>
    </x:row>
    <x:row r="94">
      <x:c r="A94" s="21" t="str">
        <x:v>25PGDM093</x:v>
      </x:c>
      <x:c r="B94" s="17" t="str">
        <x:v>Piyush Kumar</x:v>
      </x:c>
      <x:c r="C94" s="17" t="str">
        <x:v>27-piyush.kumar@fiib.edu.in</x:v>
      </x:c>
      <x:c r="D94" s="17" t="str">
        <x:v>91-9060376314</x:v>
      </x:c>
      <x:c r="E94" s="20" t="n">
        <x:v>0</x:v>
      </x:c>
      <x:c r="F94" s="20" t="n">
        <x:v>0</x:v>
      </x:c>
      <x:c r="G94" s="19" t="n">
        <x:v>0</x:v>
      </x:c>
      <x:c r="H94" s="18" t="n">
        <x:f>IF(E94&gt;0,E94+ROW()/100000,0)</x:f>
        <x:v>0</x:v>
      </x:c>
    </x:row>
    <x:row r="95">
      <x:c r="A95" s="21" t="str">
        <x:v>25PGDM094</x:v>
      </x:c>
      <x:c r="B95" s="17" t="str">
        <x:v>Priya Jhinkwan</x:v>
      </x:c>
      <x:c r="C95" s="17" t="str">
        <x:v>27-Priya.Jhinkwan@fiib.edu.in</x:v>
      </x:c>
      <x:c r="D95" s="17" t="str">
        <x:v>91-7060366392</x:v>
      </x:c>
      <x:c r="E95" s="20" t="n">
        <x:v>0</x:v>
      </x:c>
      <x:c r="F95" s="20" t="n">
        <x:v>0</x:v>
      </x:c>
      <x:c r="G95" s="19" t="n">
        <x:v>0</x:v>
      </x:c>
      <x:c r="H95" s="18" t="n">
        <x:f>IF(E95&gt;0,E95+ROW()/100000,0)</x:f>
        <x:v>0</x:v>
      </x:c>
    </x:row>
    <x:row r="96">
      <x:c r="A96" s="21" t="str">
        <x:v>25PGDM095</x:v>
      </x:c>
      <x:c r="B96" s="17" t="str">
        <x:v>Radhika Agrawal</x:v>
      </x:c>
      <x:c r="C96" s="17" t="str">
        <x:v>27-Radhika.Agrawal@fiib.edu.in</x:v>
      </x:c>
      <x:c r="D96" s="17" t="str">
        <x:v>91-6261381799</x:v>
      </x:c>
      <x:c r="E96" s="20" t="n">
        <x:v>0</x:v>
      </x:c>
      <x:c r="F96" s="20" t="n">
        <x:v>0</x:v>
      </x:c>
      <x:c r="G96" s="19" t="n">
        <x:v>0</x:v>
      </x:c>
      <x:c r="H96" s="18" t="n">
        <x:f>IF(E96&gt;0,E96+ROW()/100000,0)</x:f>
        <x:v>0</x:v>
      </x:c>
    </x:row>
    <x:row r="97">
      <x:c r="A97" s="21" t="str">
        <x:v>25PGDM096</x:v>
      </x:c>
      <x:c r="B97" s="17" t="str">
        <x:v>Rose Garg</x:v>
      </x:c>
      <x:c r="C97" s="17" t="str">
        <x:v>27-Rose.Garg@fiib.edu.in</x:v>
      </x:c>
      <x:c r="D97" s="17" t="str">
        <x:v>91-8708153724</x:v>
      </x:c>
      <x:c r="E97" s="20" t="n">
        <x:v>0</x:v>
      </x:c>
      <x:c r="F97" s="20" t="n">
        <x:v>0</x:v>
      </x:c>
      <x:c r="G97" s="19" t="n">
        <x:v>0</x:v>
      </x:c>
      <x:c r="H97" s="18" t="n">
        <x:f>IF(E97&gt;0,E97+ROW()/100000,0)</x:f>
        <x:v>0</x:v>
      </x:c>
    </x:row>
    <x:row r="98">
      <x:c r="A98" s="21" t="str">
        <x:v>25PGDM097</x:v>
      </x:c>
      <x:c r="B98" s="17" t="str">
        <x:v>Rudresh Kumar</x:v>
      </x:c>
      <x:c r="C98" s="17" t="str">
        <x:v>27-Rudresh.Kumar@fiib.edu.in</x:v>
      </x:c>
      <x:c r="D98" s="17" t="str">
        <x:v>91-8769334338</x:v>
      </x:c>
      <x:c r="E98" s="20" t="n">
        <x:v>0</x:v>
      </x:c>
      <x:c r="F98" s="20" t="n">
        <x:v>0</x:v>
      </x:c>
      <x:c r="G98" s="19" t="n">
        <x:v>0</x:v>
      </x:c>
      <x:c r="H98" s="18" t="n">
        <x:f>IF(E98&gt;0,E98+ROW()/100000,0)</x:f>
        <x:v>0</x:v>
      </x:c>
    </x:row>
    <x:row r="99">
      <x:c r="A99" s="21" t="str">
        <x:v>25PGDM098</x:v>
      </x:c>
      <x:c r="B99" s="17" t="str">
        <x:v>Sachin Kumar</x:v>
      </x:c>
      <x:c r="C99" s="17" t="str">
        <x:v>27-Sachin.Kumar@fiib.edu.in</x:v>
      </x:c>
      <x:c r="D99" s="17" t="str">
        <x:v>91-9968810259</x:v>
      </x:c>
      <x:c r="E99" s="20" t="n">
        <x:v>0</x:v>
      </x:c>
      <x:c r="F99" s="20" t="n">
        <x:v>0</x:v>
      </x:c>
      <x:c r="G99" s="19" t="n">
        <x:v>0</x:v>
      </x:c>
      <x:c r="H99" s="18" t="n">
        <x:f>IF(E99&gt;0,E99+ROW()/100000,0)</x:f>
        <x:v>0</x:v>
      </x:c>
    </x:row>
    <x:row r="100">
      <x:c r="A100" s="21" t="str">
        <x:v>25PGDM099</x:v>
      </x:c>
      <x:c r="B100" s="17" t="str">
        <x:v>Sagar Khurana</x:v>
      </x:c>
      <x:c r="C100" s="17" t="str">
        <x:v>27-Sagar.Khurana@fiib.edu.in</x:v>
      </x:c>
      <x:c r="D100" s="17" t="str">
        <x:v>91-7206166690</x:v>
      </x:c>
      <x:c r="E100" s="20" t="n">
        <x:v>0</x:v>
      </x:c>
      <x:c r="F100" s="20" t="n">
        <x:v>0</x:v>
      </x:c>
      <x:c r="G100" s="19" t="n">
        <x:v>0</x:v>
      </x:c>
      <x:c r="H100" s="18" t="n">
        <x:f>IF(E100&gt;0,E100+ROW()/100000,0)</x:f>
        <x:v>0</x:v>
      </x:c>
    </x:row>
    <x:row r="101">
      <x:c r="A101" s="21" t="str">
        <x:v>25PGDM100</x:v>
      </x:c>
      <x:c r="B101" s="17" t="str">
        <x:v>Sajal Gautam</x:v>
      </x:c>
      <x:c r="C101" s="17" t="str">
        <x:v>27-Sajal.Gautam@fiib.edu.in</x:v>
      </x:c>
      <x:c r="D101" s="17" t="str">
        <x:v>91-9870813409</x:v>
      </x:c>
      <x:c r="E101" s="20" t="n">
        <x:v>0</x:v>
      </x:c>
      <x:c r="F101" s="20" t="n">
        <x:v>0</x:v>
      </x:c>
      <x:c r="G101" s="19" t="n">
        <x:v>0</x:v>
      </x:c>
      <x:c r="H101" s="18" t="n">
        <x:f>IF(E101&gt;0,E101+ROW()/100000,0)</x:f>
        <x:v>0</x:v>
      </x:c>
    </x:row>
    <x:row r="102">
      <x:c r="A102" s="21" t="str">
        <x:v>25PGDM101</x:v>
      </x:c>
      <x:c r="B102" s="17" t="str">
        <x:v>Saranga Vinod</x:v>
      </x:c>
      <x:c r="C102" s="17" t="str">
        <x:v>27-Saranga.Vinod@fiib.edu.in</x:v>
      </x:c>
      <x:c r="D102" s="17" t="str">
        <x:v>91-9778252265</x:v>
      </x:c>
      <x:c r="E102" s="20" t="n">
        <x:v>0</x:v>
      </x:c>
      <x:c r="F102" s="20" t="n">
        <x:v>0</x:v>
      </x:c>
      <x:c r="G102" s="19" t="n">
        <x:v>0</x:v>
      </x:c>
      <x:c r="H102" s="18" t="n">
        <x:f>IF(E102&gt;0,E102+ROW()/100000,0)</x:f>
        <x:v>0</x:v>
      </x:c>
    </x:row>
    <x:row r="103">
      <x:c r="A103" s="21" t="str">
        <x:v>25PGDM102</x:v>
      </x:c>
      <x:c r="B103" s="17" t="str">
        <x:v>Shanu Kumar</x:v>
      </x:c>
      <x:c r="C103" s="17" t="str">
        <x:v>27-Shanu.Kumar@fiib.edu.in</x:v>
      </x:c>
      <x:c r="D103" s="17" t="str">
        <x:v>91-6202285943</x:v>
      </x:c>
      <x:c r="E103" s="20" t="n">
        <x:v>0</x:v>
      </x:c>
      <x:c r="F103" s="20" t="n">
        <x:v>0</x:v>
      </x:c>
      <x:c r="G103" s="19" t="n">
        <x:v>0</x:v>
      </x:c>
      <x:c r="H103" s="18" t="n">
        <x:f>IF(E103&gt;0,E103+ROW()/100000,0)</x:f>
        <x:v>0</x:v>
      </x:c>
    </x:row>
    <x:row r="104">
      <x:c r="A104" s="21" t="str">
        <x:v>25PGDM104</x:v>
      </x:c>
      <x:c r="B104" s="17" t="str">
        <x:v>Sneha Mittal</x:v>
      </x:c>
      <x:c r="C104" s="17" t="str">
        <x:v>27-Sneha.Mittal@fiib.edu.in</x:v>
      </x:c>
      <x:c r="D104" s="17" t="str">
        <x:v>91-9278675008</x:v>
      </x:c>
      <x:c r="E104" s="20" t="n">
        <x:v>0</x:v>
      </x:c>
      <x:c r="F104" s="20" t="n">
        <x:v>0</x:v>
      </x:c>
      <x:c r="G104" s="19" t="n">
        <x:v>0</x:v>
      </x:c>
      <x:c r="H104" s="18" t="n">
        <x:f>IF(E104&gt;0,E104+ROW()/100000,0)</x:f>
        <x:v>0</x:v>
      </x:c>
    </x:row>
    <x:row r="105">
      <x:c r="A105" s="21" t="str">
        <x:v>25PGDM105</x:v>
      </x:c>
      <x:c r="B105" s="17" t="str">
        <x:v>Sona Kumari</x:v>
      </x:c>
      <x:c r="C105" s="17" t="str">
        <x:v>27-Sona.Kumari@fiib.edu.in</x:v>
      </x:c>
      <x:c r="D105" s="17" t="str">
        <x:v>91-9341674663</x:v>
      </x:c>
      <x:c r="E105" s="20" t="n">
        <x:v>0</x:v>
      </x:c>
      <x:c r="F105" s="20" t="n">
        <x:v>0</x:v>
      </x:c>
      <x:c r="G105" s="19" t="n">
        <x:v>0</x:v>
      </x:c>
      <x:c r="H105" s="18" t="n">
        <x:f>IF(E105&gt;0,E105+ROW()/100000,0)</x:f>
        <x:v>0</x:v>
      </x:c>
    </x:row>
    <x:row r="106">
      <x:c r="A106" s="21" t="str">
        <x:v>25PGDM106</x:v>
      </x:c>
      <x:c r="B106" s="17" t="str">
        <x:v>Subhranil Das</x:v>
      </x:c>
      <x:c r="C106" s="17" t="str">
        <x:v>27-Subhranil.Das@fiib.edu.in</x:v>
      </x:c>
      <x:c r="D106" s="17" t="str">
        <x:v>91-9339905624</x:v>
      </x:c>
      <x:c r="E106" s="20" t="n">
        <x:v>0</x:v>
      </x:c>
      <x:c r="F106" s="20" t="n">
        <x:v>0</x:v>
      </x:c>
      <x:c r="G106" s="19" t="n">
        <x:v>0</x:v>
      </x:c>
      <x:c r="H106" s="18" t="n">
        <x:f>IF(E106&gt;0,E106+ROW()/100000,0)</x:f>
        <x:v>0</x:v>
      </x:c>
    </x:row>
    <x:row r="107">
      <x:c r="A107" s="21" t="str">
        <x:v>25PGDM107</x:v>
      </x:c>
      <x:c r="B107" s="17" t="str">
        <x:v>Sukhwinder Singh</x:v>
      </x:c>
      <x:c r="C107" s="17" t="str">
        <x:v>27-Sukhwinder.Singh@fiib.edu.in</x:v>
      </x:c>
      <x:c r="D107" s="17" t="str">
        <x:v>91-9170714644</x:v>
      </x:c>
      <x:c r="E107" s="20" t="n">
        <x:v>0</x:v>
      </x:c>
      <x:c r="F107" s="20" t="n">
        <x:v>0</x:v>
      </x:c>
      <x:c r="G107" s="19" t="n">
        <x:v>0</x:v>
      </x:c>
      <x:c r="H107" s="18" t="n">
        <x:f>IF(E107&gt;0,E107+ROW()/100000,0)</x:f>
        <x:v>0</x:v>
      </x:c>
    </x:row>
    <x:row r="108">
      <x:c r="A108" s="21" t="str">
        <x:v>25PGDM108</x:v>
      </x:c>
      <x:c r="B108" s="17" t="str">
        <x:v>Ujjal Patro</x:v>
      </x:c>
      <x:c r="C108" s="17" t="str">
        <x:v>27-Ujjal.Patro@fiib.edu.in</x:v>
      </x:c>
      <x:c r="D108" s="17" t="str">
        <x:v>91-7667710965</x:v>
      </x:c>
      <x:c r="E108" s="20" t="n">
        <x:v>0</x:v>
      </x:c>
      <x:c r="F108" s="20" t="n">
        <x:v>0</x:v>
      </x:c>
      <x:c r="G108" s="19" t="n">
        <x:v>0</x:v>
      </x:c>
      <x:c r="H108" s="18" t="n">
        <x:f>IF(E108&gt;0,E108+ROW()/100000,0)</x:f>
        <x:v>0</x:v>
      </x:c>
    </x:row>
    <x:row r="109">
      <x:c r="A109" s="21" t="str">
        <x:v>25PGDM109</x:v>
      </x:c>
      <x:c r="B109" s="17" t="str">
        <x:v>Vanshika Gupta</x:v>
      </x:c>
      <x:c r="C109" s="17" t="str">
        <x:v>27-Vanshika.Gupta@fiib.edu.in</x:v>
      </x:c>
      <x:c r="D109" s="17" t="str">
        <x:v>91-9569262559</x:v>
      </x:c>
      <x:c r="E109" s="20" t="n">
        <x:v>0</x:v>
      </x:c>
      <x:c r="F109" s="20" t="n">
        <x:v>0</x:v>
      </x:c>
      <x:c r="G109" s="19" t="n">
        <x:v>0</x:v>
      </x:c>
      <x:c r="H109" s="18" t="n">
        <x:f>IF(E109&gt;0,E109+ROW()/100000,0)</x:f>
        <x:v>0</x:v>
      </x:c>
    </x:row>
    <x:row r="110">
      <x:c r="A110" s="21" t="str">
        <x:v>25PGDM110</x:v>
      </x:c>
      <x:c r="B110" s="17" t="str">
        <x:v>Vidushi Chaturvedi</x:v>
      </x:c>
      <x:c r="C110" s="17" t="str">
        <x:v>27-Vidushi.Chaturvedi@fiib.edu.in</x:v>
      </x:c>
      <x:c r="D110" s="17" t="str">
        <x:v>91-7073344815</x:v>
      </x:c>
      <x:c r="E110" s="20" t="n">
        <x:v>0</x:v>
      </x:c>
      <x:c r="F110" s="20" t="n">
        <x:v>0</x:v>
      </x:c>
      <x:c r="G110" s="19" t="n">
        <x:v>0</x:v>
      </x:c>
      <x:c r="H110" s="18" t="n">
        <x:f>IF(E110&gt;0,E110+ROW()/100000,0)</x:f>
        <x:v>0</x:v>
      </x:c>
    </x:row>
    <x:row r="111">
      <x:c r="A111" s="21" t="str">
        <x:v>25PGDM111</x:v>
      </x:c>
      <x:c r="B111" s="17" t="str">
        <x:v>Vishal Kumar</x:v>
      </x:c>
      <x:c r="C111" s="17" t="str">
        <x:v>27-Vishal.Kumar@fiib.edu.in</x:v>
      </x:c>
      <x:c r="D111" s="17" t="str">
        <x:v>91-9310412308</x:v>
      </x:c>
      <x:c r="E111" s="20" t="n">
        <x:v>0</x:v>
      </x:c>
      <x:c r="F111" s="20" t="n">
        <x:v>0</x:v>
      </x:c>
      <x:c r="G111" s="19" t="n">
        <x:v>0</x:v>
      </x:c>
      <x:c r="H111" s="18" t="n">
        <x:f>IF(E111&gt;0,E111+ROW()/100000,0)</x:f>
        <x:v>0</x:v>
      </x:c>
    </x:row>
    <x:row r="112">
      <x:c r="A112" s="21" t="str">
        <x:v>25PGDM112</x:v>
      </x:c>
      <x:c r="B112" s="17" t="str">
        <x:v>Vrati Verma</x:v>
      </x:c>
      <x:c r="C112" s="17" t="str">
        <x:v>27-Vrati.Verma@fiib.edu.in</x:v>
      </x:c>
      <x:c r="D112" s="17" t="str">
        <x:v>91-8302583300</x:v>
      </x:c>
      <x:c r="E112" s="20" t="n">
        <x:v>0</x:v>
      </x:c>
      <x:c r="F112" s="20" t="n">
        <x:v>0</x:v>
      </x:c>
      <x:c r="G112" s="19" t="n">
        <x:v>0</x:v>
      </x:c>
      <x:c r="H112" s="18" t="n">
        <x:f>IF(E112&gt;0,E112+ROW()/100000,0)</x:f>
        <x:v>0</x:v>
      </x:c>
    </x:row>
    <x:row r="113">
      <x:c r="A113" s="21" t="str">
        <x:v>25PGDM113</x:v>
      </x:c>
      <x:c r="B113" s="17" t="str">
        <x:v>Muhammad Kaif</x:v>
      </x:c>
      <x:c r="C113" s="17" t="str">
        <x:v>27-Muhammad.Kaif@fiib.edu.in</x:v>
      </x:c>
      <x:c r="D113" s="17" t="str">
        <x:v>91-7505060911</x:v>
      </x:c>
      <x:c r="E113" s="20" t="n">
        <x:v>0</x:v>
      </x:c>
      <x:c r="F113" s="20" t="n">
        <x:v>0</x:v>
      </x:c>
      <x:c r="G113" s="19" t="n">
        <x:v>0</x:v>
      </x:c>
      <x:c r="H113" s="18" t="n">
        <x:f>IF(E113&gt;0,E113+ROW()/100000,0)</x:f>
        <x:v>0</x:v>
      </x:c>
    </x:row>
    <x:row r="114">
      <x:c r="A114" s="21" t="str">
        <x:v>25PGDM114</x:v>
      </x:c>
      <x:c r="B114" s="17" t="str">
        <x:v>Raghav Taneja</x:v>
      </x:c>
      <x:c r="C114" s="17" t="str">
        <x:v>27-Raghav.Taneja@fiib.edu.in</x:v>
      </x:c>
      <x:c r="D114" s="17" t="str">
        <x:v>91-9996990294</x:v>
      </x:c>
      <x:c r="E114" s="20" t="n">
        <x:v>0</x:v>
      </x:c>
      <x:c r="F114" s="20" t="n">
        <x:v>0</x:v>
      </x:c>
      <x:c r="G114" s="19" t="n">
        <x:v>0</x:v>
      </x:c>
      <x:c r="H114" s="18" t="n">
        <x:f>IF(E114&gt;0,E114+ROW()/100000,0)</x:f>
        <x:v>0</x:v>
      </x:c>
    </x:row>
    <x:row r="115">
      <x:c r="A115" s="21" t="str">
        <x:v>25PGDM115</x:v>
      </x:c>
      <x:c r="B115" s="17" t="str">
        <x:v>Sahil Bhati</x:v>
      </x:c>
      <x:c r="C115" s="17" t="str">
        <x:v>27-Sahil.Bhati@fiib.edu.in</x:v>
      </x:c>
      <x:c r="D115" s="17" t="str">
        <x:v>91-9717061210</x:v>
      </x:c>
      <x:c r="E115" s="20" t="n">
        <x:v>0</x:v>
      </x:c>
      <x:c r="F115" s="20" t="n">
        <x:v>0</x:v>
      </x:c>
      <x:c r="G115" s="19" t="n">
        <x:v>0</x:v>
      </x:c>
      <x:c r="H115" s="18" t="n">
        <x:f>IF(E115&gt;0,E115+ROW()/100000,0)</x:f>
        <x:v>0</x:v>
      </x:c>
    </x:row>
    <x:row r="116">
      <x:c r="A116" s="21" t="str">
        <x:v>25PGDM116</x:v>
      </x:c>
      <x:c r="B116" s="17" t="str">
        <x:v>Abhiroop Banerjee</x:v>
      </x:c>
      <x:c r="C116" s="17" t="str">
        <x:v>27-abhiroop.banerjee@fiib.edu.in</x:v>
      </x:c>
      <x:c r="D116" s="17" t="str">
        <x:v>91-6207485550</x:v>
      </x:c>
      <x:c r="E116" s="20" t="n">
        <x:v>0</x:v>
      </x:c>
      <x:c r="F116" s="20" t="n">
        <x:v>0</x:v>
      </x:c>
      <x:c r="G116" s="19" t="n">
        <x:v>0</x:v>
      </x:c>
      <x:c r="H116" s="18" t="n">
        <x:f>IF(E116&gt;0,E116+ROW()/100000,0)</x:f>
        <x:v>0</x:v>
      </x:c>
    </x:row>
    <x:row r="117">
      <x:c r="A117" s="21" t="str">
        <x:v>25PGDM117</x:v>
      </x:c>
      <x:c r="B117" s="17" t="str">
        <x:v>Shruti</x:v>
      </x:c>
      <x:c r="C117" s="17" t="str">
        <x:v>27-shruti@fiib.edu.in</x:v>
      </x:c>
      <x:c r="D117" s="17" t="str">
        <x:v>91-7903544057</x:v>
      </x:c>
      <x:c r="E117" s="20" t="n">
        <x:v>0</x:v>
      </x:c>
      <x:c r="F117" s="20" t="n">
        <x:v>0</x:v>
      </x:c>
      <x:c r="G117" s="19" t="n">
        <x:v>0</x:v>
      </x:c>
      <x:c r="H117" s="18" t="n">
        <x:f>IF(E117&gt;0,E117+ROW()/100000,0)</x:f>
        <x:v>0</x:v>
      </x:c>
    </x:row>
    <x:row r="118">
      <x:c r="A118" s="21" t="str">
        <x:v>25PGDM118</x:v>
      </x:c>
      <x:c r="B118" s="17" t="str">
        <x:v>Anmol Singh</x:v>
      </x:c>
      <x:c r="C118" s="17" t="str">
        <x:v>27-anmol.singh@fiib.edu.in</x:v>
      </x:c>
      <x:c r="D118" s="17" t="str">
        <x:v>91-7082792578</x:v>
      </x:c>
      <x:c r="E118" s="20" t="n">
        <x:v>0</x:v>
      </x:c>
      <x:c r="F118" s="20" t="n">
        <x:v>0</x:v>
      </x:c>
      <x:c r="G118" s="19" t="n">
        <x:v>0</x:v>
      </x:c>
      <x:c r="H118" s="18" t="n">
        <x:f>IF(E118&gt;0,E118+ROW()/100000,0)</x:f>
        <x:v>0</x:v>
      </x:c>
    </x:row>
    <x:row r="119">
      <x:c r="A119" s="21" t="str">
        <x:v>25PGDM119</x:v>
      </x:c>
      <x:c r="B119" s="17" t="str">
        <x:v>Abhishek Mehta</x:v>
      </x:c>
      <x:c r="C119" s="17" t="str">
        <x:v>27-abhishek.mehta@fiib.edu.in</x:v>
      </x:c>
      <x:c r="D119" s="17" t="str">
        <x:v>91-9213111783</x:v>
      </x:c>
      <x:c r="E119" s="20" t="n">
        <x:v>0</x:v>
      </x:c>
      <x:c r="F119" s="20" t="n">
        <x:v>0</x:v>
      </x:c>
      <x:c r="G119" s="19" t="n">
        <x:v>0</x:v>
      </x:c>
      <x:c r="H119" s="18" t="n">
        <x:f>IF(E119&gt;0,E119+ROW()/100000,0)</x:f>
        <x:v>0</x:v>
      </x:c>
    </x:row>
    <x:row r="120">
      <x:c r="A120" s="21" t="str">
        <x:v>25PGDM120</x:v>
      </x:c>
      <x:c r="B120" s="17" t="str">
        <x:v>Ridham Jain</x:v>
      </x:c>
      <x:c r="C120" s="17" t="str">
        <x:v>27-ridham.jain@fiib.edu.in</x:v>
      </x:c>
      <x:c r="D120" s="17" t="str">
        <x:v>91-8340198739</x:v>
      </x:c>
      <x:c r="E120" s="20" t="n">
        <x:v>0</x:v>
      </x:c>
      <x:c r="F120" s="20" t="n">
        <x:v>0</x:v>
      </x:c>
      <x:c r="G120" s="19" t="n">
        <x:v>0</x:v>
      </x:c>
      <x:c r="H120" s="18" t="n">
        <x:f>IF(E120&gt;0,E120+ROW()/100000,0)</x:f>
        <x:v>0</x:v>
      </x:c>
    </x:row>
    <x:row r="121">
      <x:c r="A121" s="21" t="str">
        <x:v>25PGDM123</x:v>
      </x:c>
      <x:c r="B121" s="17" t="str">
        <x:v>Aman Kumar Singh</x:v>
      </x:c>
      <x:c r="C121" s="17" t="str">
        <x:v>27-Aman.Singh@fiib.edu.in</x:v>
      </x:c>
      <x:c r="D121" s="17" t="str">
        <x:v>91-9794046844</x:v>
      </x:c>
      <x:c r="E121" s="20" t="n">
        <x:v>0</x:v>
      </x:c>
      <x:c r="F121" s="20" t="n">
        <x:v>0</x:v>
      </x:c>
      <x:c r="G121" s="19" t="n">
        <x:v>0</x:v>
      </x:c>
      <x:c r="H121" s="18" t="n">
        <x:f>IF(E121&gt;0,E121+ROW()/100000,0)</x:f>
        <x:v>0</x:v>
      </x:c>
    </x:row>
    <x:row r="122">
      <x:c r="A122" s="21" t="str">
        <x:v>25PGDM124</x:v>
      </x:c>
      <x:c r="B122" s="17" t="str">
        <x:v>Ankit Kumar</x:v>
      </x:c>
      <x:c r="C122" s="17" t="str">
        <x:v>27-Ankit.Kumar@fiib.edu.in</x:v>
      </x:c>
      <x:c r="D122" s="17" t="str">
        <x:v>91-7903916477</x:v>
      </x:c>
      <x:c r="E122" s="20" t="n">
        <x:v>0</x:v>
      </x:c>
      <x:c r="F122" s="20" t="n">
        <x:v>0</x:v>
      </x:c>
      <x:c r="G122" s="19" t="n">
        <x:v>0</x:v>
      </x:c>
      <x:c r="H122" s="18" t="n">
        <x:f>IF(E122&gt;0,E122+ROW()/100000,0)</x:f>
        <x:v>0</x:v>
      </x:c>
    </x:row>
    <x:row r="123">
      <x:c r="A123" s="21" t="str">
        <x:v>25PGDM125</x:v>
      </x:c>
      <x:c r="B123" s="17" t="str">
        <x:v>Arjya Biraj Mishra</x:v>
      </x:c>
      <x:c r="C123" s="17" t="str">
        <x:v>27-Arjya.Mishra@fiib.edu.in</x:v>
      </x:c>
      <x:c r="D123" s="17" t="str">
        <x:v>91-7978900395</x:v>
      </x:c>
      <x:c r="E123" s="20" t="n">
        <x:v>0</x:v>
      </x:c>
      <x:c r="F123" s="20" t="n">
        <x:v>0</x:v>
      </x:c>
      <x:c r="G123" s="19" t="n">
        <x:v>0</x:v>
      </x:c>
      <x:c r="H123" s="18" t="n">
        <x:f>IF(E123&gt;0,E123+ROW()/100000,0)</x:f>
        <x:v>0</x:v>
      </x:c>
    </x:row>
    <x:row r="124">
      <x:c r="A124" s="21" t="str">
        <x:v>25PGDM126</x:v>
      </x:c>
      <x:c r="B124" s="17" t="str">
        <x:v>Arpit Agarwal</x:v>
      </x:c>
      <x:c r="C124" s="17" t="str">
        <x:v>27-Arpit.Agarwal@fiib.edu.in</x:v>
      </x:c>
      <x:c r="D124" s="17" t="str">
        <x:v>91-8859033550</x:v>
      </x:c>
      <x:c r="E124" s="20" t="n">
        <x:v>0</x:v>
      </x:c>
      <x:c r="F124" s="20" t="n">
        <x:v>0</x:v>
      </x:c>
      <x:c r="G124" s="19" t="n">
        <x:v>0</x:v>
      </x:c>
      <x:c r="H124" s="18" t="n">
        <x:f>IF(E124&gt;0,E124+ROW()/100000,0)</x:f>
        <x:v>0</x:v>
      </x:c>
    </x:row>
    <x:row r="125">
      <x:c r="A125" s="21" t="str">
        <x:v>25PGDM127</x:v>
      </x:c>
      <x:c r="B125" s="17" t="str">
        <x:v>Arush Pratap Singh</x:v>
      </x:c>
      <x:c r="C125" s="17" t="str">
        <x:v>27-Arush.Singh@fiib.edu.in</x:v>
      </x:c>
      <x:c r="D125" s="17" t="str">
        <x:v>91-8115240282</x:v>
      </x:c>
      <x:c r="E125" s="20" t="n">
        <x:v>0</x:v>
      </x:c>
      <x:c r="F125" s="20" t="n">
        <x:v>0</x:v>
      </x:c>
      <x:c r="G125" s="19" t="n">
        <x:v>0</x:v>
      </x:c>
      <x:c r="H125" s="18" t="n">
        <x:f>IF(E125&gt;0,E125+ROW()/100000,0)</x:f>
        <x:v>0</x:v>
      </x:c>
    </x:row>
    <x:row r="126">
      <x:c r="A126" s="21" t="str">
        <x:v>25PGDM128</x:v>
      </x:c>
      <x:c r="B126" s="17" t="str">
        <x:v>Ashish Kumar Pandey</x:v>
      </x:c>
      <x:c r="C126" s="17" t="str">
        <x:v>27-Ashish.Pandey@fiib.edu.in</x:v>
      </x:c>
      <x:c r="D126" s="17" t="str">
        <x:v>91-9540395245</x:v>
      </x:c>
      <x:c r="E126" s="20" t="n">
        <x:v>0</x:v>
      </x:c>
      <x:c r="F126" s="20" t="n">
        <x:v>0</x:v>
      </x:c>
      <x:c r="G126" s="19" t="n">
        <x:v>0</x:v>
      </x:c>
      <x:c r="H126" s="18" t="n">
        <x:f>IF(E126&gt;0,E126+ROW()/100000,0)</x:f>
        <x:v>0</x:v>
      </x:c>
    </x:row>
    <x:row r="127">
      <x:c r="A127" s="21" t="str">
        <x:v>25PGDM129</x:v>
      </x:c>
      <x:c r="B127" s="17" t="str">
        <x:v>Baiju Jha</x:v>
      </x:c>
      <x:c r="C127" s="17" t="str">
        <x:v>27-Baiju.Jha@fiib.edu.in</x:v>
      </x:c>
      <x:c r="D127" s="17" t="str">
        <x:v>91-7044345089</x:v>
      </x:c>
      <x:c r="E127" s="20" t="n">
        <x:v>0</x:v>
      </x:c>
      <x:c r="F127" s="20" t="n">
        <x:v>0</x:v>
      </x:c>
      <x:c r="G127" s="19" t="n">
        <x:v>0</x:v>
      </x:c>
      <x:c r="H127" s="18" t="n">
        <x:f>IF(E127&gt;0,E127+ROW()/100000,0)</x:f>
        <x:v>0</x:v>
      </x:c>
    </x:row>
    <x:row r="128">
      <x:c r="A128" s="21" t="str">
        <x:v>25PGDM130</x:v>
      </x:c>
      <x:c r="B128" s="17" t="str">
        <x:v>Bhanu Sharma</x:v>
      </x:c>
      <x:c r="C128" s="17" t="str">
        <x:v>27-Bhanu.Sharma@fiib.edu.in</x:v>
      </x:c>
      <x:c r="D128" s="17" t="str">
        <x:v>91-9588524514</x:v>
      </x:c>
      <x:c r="E128" s="20" t="n">
        <x:v>0</x:v>
      </x:c>
      <x:c r="F128" s="20" t="n">
        <x:v>0</x:v>
      </x:c>
      <x:c r="G128" s="19" t="n">
        <x:v>0</x:v>
      </x:c>
      <x:c r="H128" s="18" t="n">
        <x:f>IF(E128&gt;0,E128+ROW()/100000,0)</x:f>
        <x:v>0</x:v>
      </x:c>
    </x:row>
    <x:row r="129">
      <x:c r="A129" s="21" t="str">
        <x:v>25PGDM131</x:v>
      </x:c>
      <x:c r="B129" s="17" t="str">
        <x:v>Bhavya Bansal</x:v>
      </x:c>
      <x:c r="C129" s="17" t="str">
        <x:v>27-Bhavya.Bansal@fiib.edu.in</x:v>
      </x:c>
      <x:c r="D129" s="17" t="str">
        <x:v>91-9958286788</x:v>
      </x:c>
      <x:c r="E129" s="20" t="n">
        <x:v>0</x:v>
      </x:c>
      <x:c r="F129" s="20" t="n">
        <x:v>0</x:v>
      </x:c>
      <x:c r="G129" s="19" t="n">
        <x:v>0</x:v>
      </x:c>
      <x:c r="H129" s="18" t="n">
        <x:f>IF(E129&gt;0,E129+ROW()/100000,0)</x:f>
        <x:v>0</x:v>
      </x:c>
    </x:row>
    <x:row r="130">
      <x:c r="A130" s="21" t="str">
        <x:v>25PGDM132</x:v>
      </x:c>
      <x:c r="B130" s="17" t="str">
        <x:v>Bhavya Modi</x:v>
      </x:c>
      <x:c r="C130" s="17" t="str">
        <x:v>27-Bhavya.Modi@fiib.edu.in</x:v>
      </x:c>
      <x:c r="D130" s="17" t="str">
        <x:v>91-9982717201</x:v>
      </x:c>
      <x:c r="E130" s="20" t="n">
        <x:v>0</x:v>
      </x:c>
      <x:c r="F130" s="20" t="n">
        <x:v>0</x:v>
      </x:c>
      <x:c r="G130" s="19" t="n">
        <x:v>0</x:v>
      </x:c>
      <x:c r="H130" s="18" t="n">
        <x:f>IF(E130&gt;0,E130+ROW()/100000,0)</x:f>
        <x:v>0</x:v>
      </x:c>
    </x:row>
    <x:row r="131">
      <x:c r="A131" s="21" t="str">
        <x:v>25PGDM133</x:v>
      </x:c>
      <x:c r="B131" s="17" t="str">
        <x:v>Bhoomi Rastogi</x:v>
      </x:c>
      <x:c r="C131" s="17" t="str">
        <x:v>27-Bhoomi.Rastogi@fiib.edu.in</x:v>
      </x:c>
      <x:c r="D131" s="17" t="str">
        <x:v>91-9354892597</x:v>
      </x:c>
      <x:c r="E131" s="20" t="n">
        <x:v>0</x:v>
      </x:c>
      <x:c r="F131" s="20" t="n">
        <x:v>0</x:v>
      </x:c>
      <x:c r="G131" s="19" t="n">
        <x:v>0</x:v>
      </x:c>
      <x:c r="H131" s="18" t="n">
        <x:f>IF(E131&gt;0,E131+ROW()/100000,0)</x:f>
        <x:v>0</x:v>
      </x:c>
    </x:row>
    <x:row r="132">
      <x:c r="A132" s="21" t="str">
        <x:v>25PGDM134</x:v>
      </x:c>
      <x:c r="B132" s="17" t="str">
        <x:v>Dinesh Kumar</x:v>
      </x:c>
      <x:c r="C132" s="17" t="str">
        <x:v>27-Dinesh.Kumar@fiib.edu.in</x:v>
      </x:c>
      <x:c r="D132" s="17" t="str">
        <x:v>91-8426042800</x:v>
      </x:c>
      <x:c r="E132" s="20" t="n">
        <x:v>0</x:v>
      </x:c>
      <x:c r="F132" s="20" t="n">
        <x:v>0</x:v>
      </x:c>
      <x:c r="G132" s="19" t="n">
        <x:v>0</x:v>
      </x:c>
      <x:c r="H132" s="18" t="n">
        <x:f>IF(E132&gt;0,E132+ROW()/100000,0)</x:f>
        <x:v>0</x:v>
      </x:c>
    </x:row>
    <x:row r="133">
      <x:c r="A133" s="21" t="str">
        <x:v>25PGDM135</x:v>
      </x:c>
      <x:c r="B133" s="17" t="str">
        <x:v>Dushyant Kumar</x:v>
      </x:c>
      <x:c r="C133" s="17" t="str">
        <x:v>27-Dushyant.Kumar@fiib.edu.in</x:v>
      </x:c>
      <x:c r="D133" s="17" t="str">
        <x:v>91-6239611593</x:v>
      </x:c>
      <x:c r="E133" s="20" t="n">
        <x:v>0</x:v>
      </x:c>
      <x:c r="F133" s="20" t="n">
        <x:v>0</x:v>
      </x:c>
      <x:c r="G133" s="19" t="n">
        <x:v>0</x:v>
      </x:c>
      <x:c r="H133" s="18" t="n">
        <x:f>IF(E133&gt;0,E133+ROW()/100000,0)</x:f>
        <x:v>0</x:v>
      </x:c>
    </x:row>
    <x:row r="134">
      <x:c r="A134" s="21" t="str">
        <x:v>25PGDM136</x:v>
      </x:c>
      <x:c r="B134" s="17" t="str">
        <x:v>Eti Sahu</x:v>
      </x:c>
      <x:c r="C134" s="17" t="str">
        <x:v>27-Eti.Sahu@fiib.edu.in</x:v>
      </x:c>
      <x:c r="D134" s="17" t="str">
        <x:v>91-8815265174</x:v>
      </x:c>
      <x:c r="E134" s="20" t="n">
        <x:v>0</x:v>
      </x:c>
      <x:c r="F134" s="20" t="n">
        <x:v>0</x:v>
      </x:c>
      <x:c r="G134" s="19" t="n">
        <x:v>0</x:v>
      </x:c>
      <x:c r="H134" s="18" t="n">
        <x:f>IF(E134&gt;0,E134+ROW()/100000,0)</x:f>
        <x:v>0</x:v>
      </x:c>
    </x:row>
    <x:row r="135">
      <x:c r="A135" s="21" t="str">
        <x:v>25PGDM137</x:v>
      </x:c>
      <x:c r="B135" s="17" t="str">
        <x:v>Gargi Das</x:v>
      </x:c>
      <x:c r="C135" s="17" t="str">
        <x:v>27-Gargi.Das@fiib.edu.in</x:v>
      </x:c>
      <x:c r="D135" s="17" t="str">
        <x:v>91-7479359927</x:v>
      </x:c>
      <x:c r="E135" s="20" t="n">
        <x:v>0</x:v>
      </x:c>
      <x:c r="F135" s="20" t="n">
        <x:v>0</x:v>
      </x:c>
      <x:c r="G135" s="19" t="n">
        <x:v>0</x:v>
      </x:c>
      <x:c r="H135" s="18" t="n">
        <x:f>IF(E135&gt;0,E135+ROW()/100000,0)</x:f>
        <x:v>0</x:v>
      </x:c>
    </x:row>
    <x:row r="136">
      <x:c r="A136" s="21" t="str">
        <x:v>25PGDM138</x:v>
      </x:c>
      <x:c r="B136" s="17" t="str">
        <x:v>Govind Kumar</x:v>
      </x:c>
      <x:c r="C136" s="17" t="str">
        <x:v>27-Govind.Kumar@fiib.edu.in</x:v>
      </x:c>
      <x:c r="D136" s="17" t="str">
        <x:v>91-9430266381</x:v>
      </x:c>
      <x:c r="E136" s="20" t="n">
        <x:v>0</x:v>
      </x:c>
      <x:c r="F136" s="20" t="n">
        <x:v>0</x:v>
      </x:c>
      <x:c r="G136" s="19" t="n">
        <x:v>0</x:v>
      </x:c>
      <x:c r="H136" s="18" t="n">
        <x:f>IF(E136&gt;0,E136+ROW()/100000,0)</x:f>
        <x:v>0</x:v>
      </x:c>
    </x:row>
    <x:row r="137">
      <x:c r="A137" s="21" t="str">
        <x:v>25PGDM139</x:v>
      </x:c>
      <x:c r="B137" s="17" t="str">
        <x:v>Harshita Sharma</x:v>
      </x:c>
      <x:c r="C137" s="17" t="str">
        <x:v>27-harshita.sharma@fiib.edu.in</x:v>
      </x:c>
      <x:c r="D137" s="17" t="str">
        <x:v>91-9899924899</x:v>
      </x:c>
      <x:c r="E137" s="20" t="n">
        <x:v>0</x:v>
      </x:c>
      <x:c r="F137" s="20" t="n">
        <x:v>0</x:v>
      </x:c>
      <x:c r="G137" s="19" t="n">
        <x:v>0</x:v>
      </x:c>
      <x:c r="H137" s="18" t="n">
        <x:f>IF(E137&gt;0,E137+ROW()/100000,0)</x:f>
        <x:v>0</x:v>
      </x:c>
    </x:row>
    <x:row r="138">
      <x:c r="A138" s="21" t="str">
        <x:v>25PGDM140</x:v>
      </x:c>
      <x:c r="B138" s="17" t="str">
        <x:v>Himanshu</x:v>
      </x:c>
      <x:c r="C138" s="17" t="str">
        <x:v>27-Himanshu@fiib.edu.in</x:v>
      </x:c>
      <x:c r="D138" s="17" t="str">
        <x:v>91-9306308031</x:v>
      </x:c>
      <x:c r="E138" s="20" t="n">
        <x:v>0</x:v>
      </x:c>
      <x:c r="F138" s="20" t="n">
        <x:v>0</x:v>
      </x:c>
      <x:c r="G138" s="19" t="n">
        <x:v>0</x:v>
      </x:c>
      <x:c r="H138" s="18" t="n">
        <x:f>IF(E138&gt;0,E138+ROW()/100000,0)</x:f>
        <x:v>0</x:v>
      </x:c>
    </x:row>
    <x:row r="139">
      <x:c r="A139" s="21" t="str">
        <x:v>25PGDM142</x:v>
      </x:c>
      <x:c r="B139" s="17" t="str">
        <x:v>Isha Singh</x:v>
      </x:c>
      <x:c r="C139" s="17" t="str">
        <x:v>27-Isha.Singh@fiib.edu.in</x:v>
      </x:c>
      <x:c r="D139" s="17" t="str">
        <x:v>91-6394312067</x:v>
      </x:c>
      <x:c r="E139" s="20" t="n">
        <x:v>0</x:v>
      </x:c>
      <x:c r="F139" s="20" t="n">
        <x:v>0</x:v>
      </x:c>
      <x:c r="G139" s="19" t="n">
        <x:v>0</x:v>
      </x:c>
      <x:c r="H139" s="18" t="n">
        <x:f>IF(E139&gt;0,E139+ROW()/100000,0)</x:f>
        <x:v>0</x:v>
      </x:c>
    </x:row>
    <x:row r="140">
      <x:c r="A140" s="21" t="str">
        <x:v>25PGDM143</x:v>
      </x:c>
      <x:c r="B140" s="17" t="str">
        <x:v>Jaishika Gupta</x:v>
      </x:c>
      <x:c r="C140" s="17" t="str">
        <x:v>27-Jaishika.Gupta@fiib.edu.in</x:v>
      </x:c>
      <x:c r="D140" s="17" t="str">
        <x:v>91-7903612767</x:v>
      </x:c>
      <x:c r="E140" s="20" t="n">
        <x:v>0</x:v>
      </x:c>
      <x:c r="F140" s="20" t="n">
        <x:v>0</x:v>
      </x:c>
      <x:c r="G140" s="19" t="n">
        <x:v>0</x:v>
      </x:c>
      <x:c r="H140" s="18" t="n">
        <x:f>IF(E140&gt;0,E140+ROW()/100000,0)</x:f>
        <x:v>0</x:v>
      </x:c>
    </x:row>
    <x:row r="141">
      <x:c r="A141" s="21" t="str">
        <x:v>25PGDM144</x:v>
      </x:c>
      <x:c r="B141" s="17" t="str">
        <x:v>Kajol Kumari</x:v>
      </x:c>
      <x:c r="C141" s="17" t="str">
        <x:v>27-Kajol.Kumari@fiib.edu.in</x:v>
      </x:c>
      <x:c r="D141" s="17" t="str">
        <x:v>91-8949274493</x:v>
      </x:c>
      <x:c r="E141" s="20" t="n">
        <x:v>0</x:v>
      </x:c>
      <x:c r="F141" s="20" t="n">
        <x:v>0</x:v>
      </x:c>
      <x:c r="G141" s="19" t="n">
        <x:v>0</x:v>
      </x:c>
      <x:c r="H141" s="18" t="n">
        <x:f>IF(E141&gt;0,E141+ROW()/100000,0)</x:f>
        <x:v>0</x:v>
      </x:c>
    </x:row>
    <x:row r="142">
      <x:c r="A142" s="21" t="str">
        <x:v>25PGDM145</x:v>
      </x:c>
      <x:c r="B142" s="17" t="str">
        <x:v>Harsh Pratap Singh</x:v>
      </x:c>
      <x:c r="C142" s="17" t="str">
        <x:v>27-Harsh.Singh@fiib.edu.in</x:v>
      </x:c>
      <x:c r="D142" s="17" t="str">
        <x:v>91-9682790091</x:v>
      </x:c>
      <x:c r="E142" s="20" t="n">
        <x:v>0</x:v>
      </x:c>
      <x:c r="F142" s="20" t="n">
        <x:v>0</x:v>
      </x:c>
      <x:c r="G142" s="19" t="n">
        <x:v>0</x:v>
      </x:c>
      <x:c r="H142" s="18" t="n">
        <x:f>IF(E142&gt;0,E142+ROW()/100000,0)</x:f>
        <x:v>0</x:v>
      </x:c>
    </x:row>
    <x:row r="143">
      <x:c r="A143" s="21" t="str">
        <x:v>25PGDM146</x:v>
      </x:c>
      <x:c r="B143" s="17" t="str">
        <x:v>Khushi Kumari</x:v>
      </x:c>
      <x:c r="C143" s="17" t="str">
        <x:v>27-Khushi.Kumari@fiib.edu.in</x:v>
      </x:c>
      <x:c r="D143" s="17" t="str">
        <x:v>91-9608302298</x:v>
      </x:c>
      <x:c r="E143" s="20" t="n">
        <x:v>0</x:v>
      </x:c>
      <x:c r="F143" s="20" t="n">
        <x:v>0</x:v>
      </x:c>
      <x:c r="G143" s="19" t="n">
        <x:v>0</x:v>
      </x:c>
      <x:c r="H143" s="18" t="n">
        <x:f>IF(E143&gt;0,E143+ROW()/100000,0)</x:f>
        <x:v>0</x:v>
      </x:c>
    </x:row>
    <x:row r="144">
      <x:c r="A144" s="21" t="str">
        <x:v>25PGDM147</x:v>
      </x:c>
      <x:c r="B144" s="17" t="str">
        <x:v>Madhvendra Mallick</x:v>
      </x:c>
      <x:c r="C144" s="17" t="str">
        <x:v>27-Madhvendra.Mallick@fiib.edu.in</x:v>
      </x:c>
      <x:c r="D144" s="17" t="str">
        <x:v>91-6395421017</x:v>
      </x:c>
      <x:c r="E144" s="20" t="n">
        <x:v>0</x:v>
      </x:c>
      <x:c r="F144" s="20" t="n">
        <x:v>0</x:v>
      </x:c>
      <x:c r="G144" s="19" t="n">
        <x:v>0</x:v>
      </x:c>
      <x:c r="H144" s="18" t="n">
        <x:f>IF(E144&gt;0,E144+ROW()/100000,0)</x:f>
        <x:v>0</x:v>
      </x:c>
    </x:row>
    <x:row r="145">
      <x:c r="A145" s="21" t="str">
        <x:v>25PGDM148</x:v>
      </x:c>
      <x:c r="B145" s="17" t="str">
        <x:v>Mahak Soni</x:v>
      </x:c>
      <x:c r="C145" s="17" t="str">
        <x:v>27-Mahak.Soni@fiib.edu.in</x:v>
      </x:c>
      <x:c r="D145" s="17" t="str">
        <x:v>91-7230917420</x:v>
      </x:c>
      <x:c r="E145" s="20" t="n">
        <x:v>0</x:v>
      </x:c>
      <x:c r="F145" s="20" t="n">
        <x:v>0</x:v>
      </x:c>
      <x:c r="G145" s="19" t="n">
        <x:v>0</x:v>
      </x:c>
      <x:c r="H145" s="18" t="n">
        <x:f>IF(E145&gt;0,E145+ROW()/100000,0)</x:f>
        <x:v>0</x:v>
      </x:c>
    </x:row>
    <x:row r="146">
      <x:c r="A146" s="21" t="str">
        <x:v>25PGDM149</x:v>
      </x:c>
      <x:c r="B146" s="17" t="str">
        <x:v>Manish Singh</x:v>
      </x:c>
      <x:c r="C146" s="17" t="str">
        <x:v>27-Manish.Singh@fiib.edu.in</x:v>
      </x:c>
      <x:c r="D146" s="17" t="str">
        <x:v>91-9617195807</x:v>
      </x:c>
      <x:c r="E146" s="20" t="n">
        <x:v>0</x:v>
      </x:c>
      <x:c r="F146" s="20" t="n">
        <x:v>0</x:v>
      </x:c>
      <x:c r="G146" s="19" t="n">
        <x:v>0</x:v>
      </x:c>
      <x:c r="H146" s="18" t="n">
        <x:f>IF(E146&gt;0,E146+ROW()/100000,0)</x:f>
        <x:v>0</x:v>
      </x:c>
    </x:row>
    <x:row r="147">
      <x:c r="A147" s="21" t="str">
        <x:v>25PGDM150</x:v>
      </x:c>
      <x:c r="B147" s="17" t="str">
        <x:v>Nandini</x:v>
      </x:c>
      <x:c r="C147" s="17" t="str">
        <x:v>27-Nandini@fiib.edu.in</x:v>
      </x:c>
      <x:c r="D147" s="17" t="str">
        <x:v>91-9582942422</x:v>
      </x:c>
      <x:c r="E147" s="20" t="n">
        <x:v>0</x:v>
      </x:c>
      <x:c r="F147" s="20" t="n">
        <x:v>0</x:v>
      </x:c>
      <x:c r="G147" s="19" t="n">
        <x:v>0</x:v>
      </x:c>
      <x:c r="H147" s="18" t="n">
        <x:f>IF(E147&gt;0,E147+ROW()/100000,0)</x:f>
        <x:v>0</x:v>
      </x:c>
    </x:row>
    <x:row r="148">
      <x:c r="A148" s="21" t="str">
        <x:v>25PGDM151</x:v>
      </x:c>
      <x:c r="B148" s="17" t="str">
        <x:v>Omdeep Chaudhary</x:v>
      </x:c>
      <x:c r="C148" s="17" t="str">
        <x:v>27-Omdeep.Chaudhary@fiib.edu.in</x:v>
      </x:c>
      <x:c r="D148" s="17" t="str">
        <x:v>91-7300615359</x:v>
      </x:c>
      <x:c r="E148" s="20" t="n">
        <x:v>0</x:v>
      </x:c>
      <x:c r="F148" s="20" t="n">
        <x:v>0</x:v>
      </x:c>
      <x:c r="G148" s="19" t="n">
        <x:v>0</x:v>
      </x:c>
      <x:c r="H148" s="18" t="n">
        <x:f>IF(E148&gt;0,E148+ROW()/100000,0)</x:f>
        <x:v>0</x:v>
      </x:c>
    </x:row>
    <x:row r="149">
      <x:c r="A149" s="21" t="str">
        <x:v>25PGDM152</x:v>
      </x:c>
      <x:c r="B149" s="17" t="str">
        <x:v>Prabhat Yadav</x:v>
      </x:c>
      <x:c r="C149" s="17" t="str">
        <x:v>27-Prabhat.Yadav@fiib.edu.in</x:v>
      </x:c>
      <x:c r="D149" s="17" t="str">
        <x:v>91-8851947814</x:v>
      </x:c>
      <x:c r="E149" s="20" t="n">
        <x:v>0</x:v>
      </x:c>
      <x:c r="F149" s="20" t="n">
        <x:v>0</x:v>
      </x:c>
      <x:c r="G149" s="19" t="n">
        <x:v>0</x:v>
      </x:c>
      <x:c r="H149" s="18" t="n">
        <x:f>IF(E149&gt;0,E149+ROW()/100000,0)</x:f>
        <x:v>0</x:v>
      </x:c>
    </x:row>
    <x:row r="150">
      <x:c r="A150" s="21" t="str">
        <x:v>25PGDM153</x:v>
      </x:c>
      <x:c r="B150" s="17" t="str">
        <x:v>Prajjwal Singh</x:v>
      </x:c>
      <x:c r="C150" s="17" t="str">
        <x:v>27-Prajjwal.Singh@fiib.edu.in</x:v>
      </x:c>
      <x:c r="D150" s="17" t="str">
        <x:v>91-7843951088</x:v>
      </x:c>
      <x:c r="E150" s="20" t="n">
        <x:v>0</x:v>
      </x:c>
      <x:c r="F150" s="20" t="n">
        <x:v>0</x:v>
      </x:c>
      <x:c r="G150" s="19" t="n">
        <x:v>0</x:v>
      </x:c>
      <x:c r="H150" s="18" t="n">
        <x:f>IF(E150&gt;0,E150+ROW()/100000,0)</x:f>
        <x:v>0</x:v>
      </x:c>
    </x:row>
    <x:row r="151">
      <x:c r="A151" s="21" t="str">
        <x:v>25PGDM154</x:v>
      </x:c>
      <x:c r="B151" s="17" t="str">
        <x:v>Prajval Srivastava</x:v>
      </x:c>
      <x:c r="C151" s="17" t="str">
        <x:v>27-Prajval.Srivastava@fiib.edu.in</x:v>
      </x:c>
      <x:c r="D151" s="17" t="str">
        <x:v>91-9118412606</x:v>
      </x:c>
      <x:c r="E151" s="20" t="n">
        <x:v>0</x:v>
      </x:c>
      <x:c r="F151" s="20" t="n">
        <x:v>0</x:v>
      </x:c>
      <x:c r="G151" s="19" t="n">
        <x:v>0</x:v>
      </x:c>
      <x:c r="H151" s="18" t="n">
        <x:f>IF(E151&gt;0,E151+ROW()/100000,0)</x:f>
        <x:v>0</x:v>
      </x:c>
    </x:row>
    <x:row r="152">
      <x:c r="A152" s="21" t="str">
        <x:v>25PGDM155</x:v>
      </x:c>
      <x:c r="B152" s="17" t="str">
        <x:v>Pushp</x:v>
      </x:c>
      <x:c r="C152" s="17" t="str">
        <x:v>27-Pushp@fiib.edu.in</x:v>
      </x:c>
      <x:c r="D152" s="17" t="str">
        <x:v>91-9650182298</x:v>
      </x:c>
      <x:c r="E152" s="20" t="n">
        <x:v>0</x:v>
      </x:c>
      <x:c r="F152" s="20" t="n">
        <x:v>0</x:v>
      </x:c>
      <x:c r="G152" s="19" t="n">
        <x:v>0</x:v>
      </x:c>
      <x:c r="H152" s="18" t="n">
        <x:f>IF(E152&gt;0,E152+ROW()/100000,0)</x:f>
        <x:v>0</x:v>
      </x:c>
    </x:row>
    <x:row r="153">
      <x:c r="A153" s="21" t="str">
        <x:v>25PGDM156</x:v>
      </x:c>
      <x:c r="B153" s="17" t="str">
        <x:v>Rishit Gupta</x:v>
      </x:c>
      <x:c r="C153" s="17" t="str">
        <x:v>27-Rishit.Gupta@fiib.edu.in</x:v>
      </x:c>
      <x:c r="D153" s="17" t="str">
        <x:v>91-9958546624</x:v>
      </x:c>
      <x:c r="E153" s="20" t="n">
        <x:v>0</x:v>
      </x:c>
      <x:c r="F153" s="20" t="n">
        <x:v>0</x:v>
      </x:c>
      <x:c r="G153" s="19" t="n">
        <x:v>0</x:v>
      </x:c>
      <x:c r="H153" s="18" t="n">
        <x:f>IF(E153&gt;0,E153+ROW()/100000,0)</x:f>
        <x:v>0</x:v>
      </x:c>
    </x:row>
    <x:row r="154">
      <x:c r="A154" s="21" t="str">
        <x:v>25PGDM157</x:v>
      </x:c>
      <x:c r="B154" s="17" t="str">
        <x:v>Roopshikha Kain</x:v>
      </x:c>
      <x:c r="C154" s="17" t="str">
        <x:v>27-Roopshikha.Kain@fiib.edu.in</x:v>
      </x:c>
      <x:c r="D154" s="17" t="str">
        <x:v>91-9313862533</x:v>
      </x:c>
      <x:c r="E154" s="20" t="n">
        <x:v>0</x:v>
      </x:c>
      <x:c r="F154" s="20" t="n">
        <x:v>0</x:v>
      </x:c>
      <x:c r="G154" s="19" t="n">
        <x:v>0</x:v>
      </x:c>
      <x:c r="H154" s="18" t="n">
        <x:f>IF(E154&gt;0,E154+ROW()/100000,0)</x:f>
        <x:v>0</x:v>
      </x:c>
    </x:row>
    <x:row r="155">
      <x:c r="A155" s="21" t="str">
        <x:v>25PGDM158</x:v>
      </x:c>
      <x:c r="B155" s="17" t="str">
        <x:v>Samriddhi Maurya</x:v>
      </x:c>
      <x:c r="C155" s="17" t="str">
        <x:v>27-Samriddhi.Maurya@fiib.edu.in</x:v>
      </x:c>
      <x:c r="D155" s="17" t="str">
        <x:v>91-6307704831</x:v>
      </x:c>
      <x:c r="E155" s="20" t="n">
        <x:v>0</x:v>
      </x:c>
      <x:c r="F155" s="20" t="n">
        <x:v>0</x:v>
      </x:c>
      <x:c r="G155" s="19" t="n">
        <x:v>0</x:v>
      </x:c>
      <x:c r="H155" s="18" t="n">
        <x:f>IF(E155&gt;0,E155+ROW()/100000,0)</x:f>
        <x:v>0</x:v>
      </x:c>
    </x:row>
    <x:row r="156">
      <x:c r="A156" s="21" t="str">
        <x:v>25PGDM159</x:v>
      </x:c>
      <x:c r="B156" s="17" t="str">
        <x:v>Shivam Gupta</x:v>
      </x:c>
      <x:c r="C156" s="17" t="str">
        <x:v>27-Shivam.Gupta@fiib.edu.in</x:v>
      </x:c>
      <x:c r="D156" s="17" t="str">
        <x:v>91-9899425152</x:v>
      </x:c>
      <x:c r="E156" s="20" t="n">
        <x:v>0</x:v>
      </x:c>
      <x:c r="F156" s="20" t="n">
        <x:v>0</x:v>
      </x:c>
      <x:c r="G156" s="19" t="n">
        <x:v>0</x:v>
      </x:c>
      <x:c r="H156" s="18" t="n">
        <x:f>IF(E156&gt;0,E156+ROW()/100000,0)</x:f>
        <x:v>0</x:v>
      </x:c>
    </x:row>
    <x:row r="157">
      <x:c r="A157" s="21" t="str">
        <x:v>25PGDM160</x:v>
      </x:c>
      <x:c r="B157" s="17" t="str">
        <x:v>Shreya Bharara</x:v>
      </x:c>
      <x:c r="C157" s="17" t="str">
        <x:v>27-Shreya.Bharara@fiib.edu.in</x:v>
      </x:c>
      <x:c r="D157" s="17" t="str">
        <x:v>91-7986758086</x:v>
      </x:c>
      <x:c r="E157" s="20" t="n">
        <x:v>0</x:v>
      </x:c>
      <x:c r="F157" s="20" t="n">
        <x:v>0</x:v>
      </x:c>
      <x:c r="G157" s="19" t="n">
        <x:v>0</x:v>
      </x:c>
      <x:c r="H157" s="18" t="n">
        <x:f>IF(E157&gt;0,E157+ROW()/100000,0)</x:f>
        <x:v>0</x:v>
      </x:c>
    </x:row>
    <x:row r="158">
      <x:c r="A158" s="21" t="str">
        <x:v>25PGDM161</x:v>
      </x:c>
      <x:c r="B158" s="17" t="str">
        <x:v>Shreya Chugh</x:v>
      </x:c>
      <x:c r="C158" s="17" t="str">
        <x:v>27-Shreya.Chugh@fiib.edu.in</x:v>
      </x:c>
      <x:c r="D158" s="17" t="str">
        <x:v>91-9910896439</x:v>
      </x:c>
      <x:c r="E158" s="20" t="n">
        <x:v>0</x:v>
      </x:c>
      <x:c r="F158" s="20" t="n">
        <x:v>0</x:v>
      </x:c>
      <x:c r="G158" s="19" t="n">
        <x:v>0</x:v>
      </x:c>
      <x:c r="H158" s="18" t="n">
        <x:f>IF(E158&gt;0,E158+ROW()/100000,0)</x:f>
        <x:v>0</x:v>
      </x:c>
    </x:row>
    <x:row r="159">
      <x:c r="A159" s="21" t="str">
        <x:v>25PGDM162</x:v>
      </x:c>
      <x:c r="B159" s="17" t="str">
        <x:v>Shreya Rai</x:v>
      </x:c>
      <x:c r="C159" s="17" t="str">
        <x:v>27-Shreya.Rai@fiib.edu.in</x:v>
      </x:c>
      <x:c r="D159" s="17" t="str">
        <x:v>91-9696625692</x:v>
      </x:c>
      <x:c r="E159" s="20" t="n">
        <x:v>0</x:v>
      </x:c>
      <x:c r="F159" s="20" t="n">
        <x:v>0</x:v>
      </x:c>
      <x:c r="G159" s="19" t="n">
        <x:v>0</x:v>
      </x:c>
      <x:c r="H159" s="18" t="n">
        <x:f>IF(E159&gt;0,E159+ROW()/100000,0)</x:f>
        <x:v>0</x:v>
      </x:c>
    </x:row>
    <x:row r="160">
      <x:c r="A160" s="21" t="str">
        <x:v>25PGDM163</x:v>
      </x:c>
      <x:c r="B160" s="17" t="str">
        <x:v>Shruti Agarwal</x:v>
      </x:c>
      <x:c r="C160" s="17" t="str">
        <x:v>27-Shruti.Agarwal@fiib.edu.in</x:v>
      </x:c>
      <x:c r="D160" s="17" t="str">
        <x:v>91-9971527184</x:v>
      </x:c>
      <x:c r="E160" s="20" t="n">
        <x:v>0</x:v>
      </x:c>
      <x:c r="F160" s="20" t="n">
        <x:v>0</x:v>
      </x:c>
      <x:c r="G160" s="19" t="n">
        <x:v>0</x:v>
      </x:c>
      <x:c r="H160" s="18" t="n">
        <x:f>IF(E160&gt;0,E160+ROW()/100000,0)</x:f>
        <x:v>0</x:v>
      </x:c>
    </x:row>
    <x:row r="161">
      <x:c r="A161" s="21" t="str">
        <x:v>25PGDM164</x:v>
      </x:c>
      <x:c r="B161" s="17" t="str">
        <x:v>Shweta Yadav</x:v>
      </x:c>
      <x:c r="C161" s="17" t="str">
        <x:v>27-Shweta.Yadav@fiib.edu.in</x:v>
      </x:c>
      <x:c r="D161" s="17" t="str">
        <x:v>91-8506930345</x:v>
      </x:c>
      <x:c r="E161" s="20" t="n">
        <x:v>0</x:v>
      </x:c>
      <x:c r="F161" s="20" t="n">
        <x:v>0</x:v>
      </x:c>
      <x:c r="G161" s="19" t="n">
        <x:v>0</x:v>
      </x:c>
      <x:c r="H161" s="18" t="n">
        <x:f>IF(E161&gt;0,E161+ROW()/100000,0)</x:f>
        <x:v>0</x:v>
      </x:c>
    </x:row>
    <x:row r="162">
      <x:c r="A162" s="21" t="str">
        <x:v>25PGDM165</x:v>
      </x:c>
      <x:c r="B162" s="17" t="str">
        <x:v>Sourav Singh</x:v>
      </x:c>
      <x:c r="C162" s="17" t="str">
        <x:v>27-Sourav.Singh@fiib.edu.in</x:v>
      </x:c>
      <x:c r="D162" s="17" t="str">
        <x:v>91-7979854345</x:v>
      </x:c>
      <x:c r="E162" s="20" t="n">
        <x:v>0</x:v>
      </x:c>
      <x:c r="F162" s="20" t="n">
        <x:v>0</x:v>
      </x:c>
      <x:c r="G162" s="19" t="n">
        <x:v>0</x:v>
      </x:c>
      <x:c r="H162" s="18" t="n">
        <x:f>IF(E162&gt;0,E162+ROW()/100000,0)</x:f>
        <x:v>0</x:v>
      </x:c>
    </x:row>
    <x:row r="163">
      <x:c r="A163" s="21" t="str">
        <x:v>25PGDM166</x:v>
      </x:c>
      <x:c r="B163" s="17" t="str">
        <x:v>Sumit Kumar</x:v>
      </x:c>
      <x:c r="C163" s="17" t="str">
        <x:v>27-sumit.kumar@fiib.edu.in</x:v>
      </x:c>
      <x:c r="D163" s="17" t="str">
        <x:v>91-8809812927</x:v>
      </x:c>
      <x:c r="E163" s="20" t="n">
        <x:v>0</x:v>
      </x:c>
      <x:c r="F163" s="20" t="n">
        <x:v>0</x:v>
      </x:c>
      <x:c r="G163" s="19" t="n">
        <x:v>0</x:v>
      </x:c>
      <x:c r="H163" s="18" t="n">
        <x:f>IF(E163&gt;0,E163+ROW()/100000,0)</x:f>
        <x:v>0</x:v>
      </x:c>
    </x:row>
    <x:row r="164">
      <x:c r="A164" s="21" t="str">
        <x:v>25PGDM167</x:v>
      </x:c>
      <x:c r="B164" s="17" t="str">
        <x:v>Uday Kapoor</x:v>
      </x:c>
      <x:c r="C164" s="17" t="str">
        <x:v>27-Uday.Kapoor@fiib.edu.in</x:v>
      </x:c>
      <x:c r="D164" s="17" t="str">
        <x:v>91-9910470427</x:v>
      </x:c>
      <x:c r="E164" s="20" t="n">
        <x:v>0</x:v>
      </x:c>
      <x:c r="F164" s="20" t="n">
        <x:v>0</x:v>
      </x:c>
      <x:c r="G164" s="19" t="n">
        <x:v>0</x:v>
      </x:c>
      <x:c r="H164" s="18" t="n">
        <x:f>IF(E164&gt;0,E164+ROW()/100000,0)</x:f>
        <x:v>0</x:v>
      </x:c>
    </x:row>
    <x:row r="165">
      <x:c r="A165" s="21" t="str">
        <x:v>25PGDM168</x:v>
      </x:c>
      <x:c r="B165" s="17" t="str">
        <x:v>Utkarsh Rai</x:v>
      </x:c>
      <x:c r="C165" s="17" t="str">
        <x:v>27-Utkarsh.Rai@fiib.edu.in</x:v>
      </x:c>
      <x:c r="D165" s="17" t="str">
        <x:v>91-8887876208</x:v>
      </x:c>
      <x:c r="E165" s="20" t="n">
        <x:v>0</x:v>
      </x:c>
      <x:c r="F165" s="20" t="n">
        <x:v>0</x:v>
      </x:c>
      <x:c r="G165" s="19" t="n">
        <x:v>0</x:v>
      </x:c>
      <x:c r="H165" s="18" t="n">
        <x:f>IF(E165&gt;0,E165+ROW()/100000,0)</x:f>
        <x:v>0</x:v>
      </x:c>
    </x:row>
    <x:row r="166">
      <x:c r="A166" s="21" t="str">
        <x:v>25PGDM170</x:v>
      </x:c>
      <x:c r="B166" s="17" t="str">
        <x:v>Vinayak Dubey</x:v>
      </x:c>
      <x:c r="C166" s="17" t="str">
        <x:v>27-Vinayak.Dubey@fiib.edu.in</x:v>
      </x:c>
      <x:c r="D166" s="17" t="str">
        <x:v>91-9839257571</x:v>
      </x:c>
      <x:c r="E166" s="20" t="n">
        <x:v>0</x:v>
      </x:c>
      <x:c r="F166" s="20" t="n">
        <x:v>0</x:v>
      </x:c>
      <x:c r="G166" s="19" t="n">
        <x:v>0</x:v>
      </x:c>
      <x:c r="H166" s="18" t="n">
        <x:f>IF(E166&gt;0,E166+ROW()/100000,0)</x:f>
        <x:v>0</x:v>
      </x:c>
    </x:row>
    <x:row r="167">
      <x:c r="A167" s="21" t="str">
        <x:v>25PGDM171</x:v>
      </x:c>
      <x:c r="B167" s="17" t="str">
        <x:v>Vishal Kumar Yadav</x:v>
      </x:c>
      <x:c r="C167" s="17" t="str">
        <x:v>27-Vishal.Yadav@fiib.edu.in</x:v>
      </x:c>
      <x:c r="D167" s="17" t="str">
        <x:v>91-9794002255</x:v>
      </x:c>
      <x:c r="E167" s="20" t="n">
        <x:v>0</x:v>
      </x:c>
      <x:c r="F167" s="20" t="n">
        <x:v>0</x:v>
      </x:c>
      <x:c r="G167" s="19" t="n">
        <x:v>0</x:v>
      </x:c>
      <x:c r="H167" s="18" t="n">
        <x:f>IF(E167&gt;0,E167+ROW()/100000,0)</x:f>
        <x:v>0</x:v>
      </x:c>
    </x:row>
    <x:row r="168">
      <x:c r="A168" s="21" t="str">
        <x:v>25PGDM172</x:v>
      </x:c>
      <x:c r="B168" s="17" t="str">
        <x:v>Yash Baid</x:v>
      </x:c>
      <x:c r="C168" s="17" t="str">
        <x:v>27-Yash.Baid@fiib.edu.in</x:v>
      </x:c>
      <x:c r="D168" s="17" t="str">
        <x:v>91-7014179446</x:v>
      </x:c>
      <x:c r="E168" s="20" t="n">
        <x:v>0</x:v>
      </x:c>
      <x:c r="F168" s="20" t="n">
        <x:v>0</x:v>
      </x:c>
      <x:c r="G168" s="19" t="n">
        <x:v>0</x:v>
      </x:c>
      <x:c r="H168" s="18" t="n">
        <x:f>IF(E168&gt;0,E168+ROW()/100000,0)</x:f>
        <x:v>0</x:v>
      </x:c>
    </x:row>
    <x:row r="169">
      <x:c r="A169" s="21" t="str">
        <x:v>25PGDM173</x:v>
      </x:c>
      <x:c r="B169" s="17" t="str">
        <x:v>Ishant Kohli</x:v>
      </x:c>
      <x:c r="C169" s="17" t="str">
        <x:v>27-Ishant.Kohli@fiib.edu.in</x:v>
      </x:c>
      <x:c r="D169" s="17" t="str">
        <x:v>91-9560043131</x:v>
      </x:c>
      <x:c r="E169" s="20" t="n">
        <x:v>0</x:v>
      </x:c>
      <x:c r="F169" s="20" t="n">
        <x:v>0</x:v>
      </x:c>
      <x:c r="G169" s="19" t="n">
        <x:v>0</x:v>
      </x:c>
      <x:c r="H169" s="18" t="n">
        <x:f>IF(E169&gt;0,E169+ROW()/100000,0)</x:f>
        <x:v>0</x:v>
      </x:c>
    </x:row>
    <x:row r="170">
      <x:c r="A170" s="21" t="str">
        <x:v>25PGDM174</x:v>
      </x:c>
      <x:c r="B170" s="17" t="str">
        <x:v>Utkarsh Singh</x:v>
      </x:c>
      <x:c r="C170" s="17" t="str">
        <x:v>27-utkarsh.singh1@fiib.edu.in</x:v>
      </x:c>
      <x:c r="D170" s="17" t="str">
        <x:v>91-9336681889</x:v>
      </x:c>
      <x:c r="E170" s="20" t="n">
        <x:v>0</x:v>
      </x:c>
      <x:c r="F170" s="20" t="n">
        <x:v>0</x:v>
      </x:c>
      <x:c r="G170" s="19" t="n">
        <x:v>0</x:v>
      </x:c>
      <x:c r="H170" s="18" t="n">
        <x:f>IF(E170&gt;0,E170+ROW()/100000,0)</x:f>
        <x:v>0</x:v>
      </x:c>
    </x:row>
    <x:row r="171">
      <x:c r="A171" s="21" t="str">
        <x:v>25PGDM175</x:v>
      </x:c>
      <x:c r="B171" s="17" t="str">
        <x:v>Anushka Sharma</x:v>
      </x:c>
      <x:c r="C171" s="17" t="str">
        <x:v>27-anushka.sharma@fiib.edu.in</x:v>
      </x:c>
      <x:c r="D171" s="17" t="str">
        <x:v>91-9799356789</x:v>
      </x:c>
      <x:c r="E171" s="20" t="n">
        <x:v>0</x:v>
      </x:c>
      <x:c r="F171" s="20" t="n">
        <x:v>0</x:v>
      </x:c>
      <x:c r="G171" s="19" t="n">
        <x:v>0</x:v>
      </x:c>
      <x:c r="H171" s="18" t="n">
        <x:f>IF(E171&gt;0,E171+ROW()/100000,0)</x:f>
        <x:v>0</x:v>
      </x:c>
    </x:row>
    <x:row r="172">
      <x:c r="A172" s="21" t="str">
        <x:v>25PGDM176</x:v>
      </x:c>
      <x:c r="B172" s="17" t="str">
        <x:v>Vikas Nager</x:v>
      </x:c>
      <x:c r="C172" s="17" t="str">
        <x:v>27-Vikas.Nager@fiib.edu.in</x:v>
      </x:c>
      <x:c r="D172" s="17" t="str">
        <x:v>91-9455255880</x:v>
      </x:c>
      <x:c r="E172" s="20" t="n">
        <x:v>0</x:v>
      </x:c>
      <x:c r="F172" s="20" t="n">
        <x:v>0</x:v>
      </x:c>
      <x:c r="G172" s="19" t="n">
        <x:v>0</x:v>
      </x:c>
      <x:c r="H172" s="18" t="n">
        <x:f>IF(E172&gt;0,E172+ROW()/100000,0)</x:f>
        <x:v>0</x:v>
      </x:c>
    </x:row>
    <x:row r="173">
      <x:c r="A173" s="21" t="str">
        <x:v>25PGDM177</x:v>
      </x:c>
      <x:c r="B173" s="17" t="str">
        <x:v>Shivani Lamba</x:v>
      </x:c>
      <x:c r="C173" s="17" t="str">
        <x:v>27-shivani.lamba@fiib.edu.in</x:v>
      </x:c>
      <x:c r="D173" s="17" t="str">
        <x:v>91-8868816243</x:v>
      </x:c>
      <x:c r="E173" s="20" t="n">
        <x:v>0</x:v>
      </x:c>
      <x:c r="F173" s="20" t="n">
        <x:v>0</x:v>
      </x:c>
      <x:c r="G173" s="19" t="n">
        <x:v>0</x:v>
      </x:c>
      <x:c r="H173" s="18" t="n">
        <x:f>IF(E173&gt;0,E173+ROW()/100000,0)</x:f>
        <x:v>0</x:v>
      </x:c>
    </x:row>
    <x:row r="174">
      <x:c r="A174" s="21" t="str">
        <x:v>25PGDM178</x:v>
      </x:c>
      <x:c r="B174" s="17" t="str">
        <x:v>Jayant Jawla</x:v>
      </x:c>
      <x:c r="C174" s="17" t="str">
        <x:v>27-jayant.jawla@fiib.edu.in</x:v>
      </x:c>
      <x:c r="D174" s="17" t="str">
        <x:v>91-9027294856</x:v>
      </x:c>
      <x:c r="E174" s="20" t="n">
        <x:v>0</x:v>
      </x:c>
      <x:c r="F174" s="20" t="n">
        <x:v>0</x:v>
      </x:c>
      <x:c r="G174" s="19" t="n">
        <x:v>0</x:v>
      </x:c>
      <x:c r="H174" s="18" t="n">
        <x:f>IF(E174&gt;0,E174+ROW()/100000,0)</x:f>
        <x:v>0</x:v>
      </x:c>
    </x:row>
    <x:row r="175">
      <x:c r="A175" s="21" t="str">
        <x:v>25PGDM180</x:v>
      </x:c>
      <x:c r="B175" s="17" t="str">
        <x:v>Sonali</x:v>
      </x:c>
      <x:c r="C175" s="17" t="str">
        <x:v>27-sonali@fiib.edu.in</x:v>
      </x:c>
      <x:c r="D175" s="17" t="str">
        <x:v>91-8920796962</x:v>
      </x:c>
      <x:c r="E175" s="20" t="n">
        <x:v>0</x:v>
      </x:c>
      <x:c r="F175" s="20" t="n">
        <x:v>0</x:v>
      </x:c>
      <x:c r="G175" s="19" t="n">
        <x:v>0</x:v>
      </x:c>
      <x:c r="H175" s="18" t="n">
        <x:f>IF(E175&gt;0,E175+ROW()/100000,0)</x:f>
        <x:v>0</x:v>
      </x:c>
    </x:row>
    <x:row r="176">
      <x:c r="A176" s="21" t="str">
        <x:v>25PGDM181</x:v>
      </x:c>
      <x:c r="B176" s="17" t="str">
        <x:v>Aastha Jha</x:v>
      </x:c>
      <x:c r="C176" s="17" t="str">
        <x:v>27-Aastha.Jha@fiib.edu.in</x:v>
      </x:c>
      <x:c r="D176" s="17" t="str">
        <x:v>91-7017026383</x:v>
      </x:c>
      <x:c r="E176" s="20" t="n">
        <x:v>0</x:v>
      </x:c>
      <x:c r="F176" s="20" t="n">
        <x:v>0</x:v>
      </x:c>
      <x:c r="G176" s="19" t="n">
        <x:v>0</x:v>
      </x:c>
      <x:c r="H176" s="18" t="n">
        <x:f>IF(E176&gt;0,E176+ROW()/100000,0)</x:f>
        <x:v>0</x:v>
      </x:c>
    </x:row>
    <x:row r="177">
      <x:c r="A177" s="21" t="str">
        <x:v>25PGDM182</x:v>
      </x:c>
      <x:c r="B177" s="17" t="str">
        <x:v>Adarsh Ranjan</x:v>
      </x:c>
      <x:c r="C177" s="17" t="str">
        <x:v>27-Adarsh.Ranjan@fiib.edu.in</x:v>
      </x:c>
      <x:c r="D177" s="17" t="str">
        <x:v>91-7992369126</x:v>
      </x:c>
      <x:c r="E177" s="20" t="n">
        <x:v>0</x:v>
      </x:c>
      <x:c r="F177" s="20" t="n">
        <x:v>0</x:v>
      </x:c>
      <x:c r="G177" s="19" t="n">
        <x:v>0</x:v>
      </x:c>
      <x:c r="H177" s="18" t="n">
        <x:f>IF(E177&gt;0,E177+ROW()/100000,0)</x:f>
        <x:v>0</x:v>
      </x:c>
    </x:row>
    <x:row r="178">
      <x:c r="A178" s="21" t="str">
        <x:v>25PGDM183</x:v>
      </x:c>
      <x:c r="B178" s="17" t="str">
        <x:v>Adarsh Singh</x:v>
      </x:c>
      <x:c r="C178" s="17" t="str">
        <x:v>27-Adarsh.Singh@fiib.edu.in</x:v>
      </x:c>
      <x:c r="D178" s="17" t="str">
        <x:v>91-8303034142</x:v>
      </x:c>
      <x:c r="E178" s="20" t="n">
        <x:v>0</x:v>
      </x:c>
      <x:c r="F178" s="20" t="n">
        <x:v>0</x:v>
      </x:c>
      <x:c r="G178" s="19" t="n">
        <x:v>0</x:v>
      </x:c>
      <x:c r="H178" s="18" t="n">
        <x:f>IF(E178&gt;0,E178+ROW()/100000,0)</x:f>
        <x:v>0</x:v>
      </x:c>
    </x:row>
    <x:row r="179">
      <x:c r="A179" s="21" t="str">
        <x:v>25PGDM184</x:v>
      </x:c>
      <x:c r="B179" s="17" t="str">
        <x:v>Akshat Gupta</x:v>
      </x:c>
      <x:c r="C179" s="17" t="str">
        <x:v>27-Akshat.Gupta@fiib.edu.in</x:v>
      </x:c>
      <x:c r="D179" s="17" t="str">
        <x:v>91-9565293157</x:v>
      </x:c>
      <x:c r="E179" s="20" t="n">
        <x:v>0</x:v>
      </x:c>
      <x:c r="F179" s="20" t="n">
        <x:v>0</x:v>
      </x:c>
      <x:c r="G179" s="19" t="n">
        <x:v>0</x:v>
      </x:c>
      <x:c r="H179" s="18" t="n">
        <x:f>IF(E179&gt;0,E179+ROW()/100000,0)</x:f>
        <x:v>0</x:v>
      </x:c>
    </x:row>
    <x:row r="180">
      <x:c r="A180" s="21" t="str">
        <x:v>25PGDM185</x:v>
      </x:c>
      <x:c r="B180" s="17" t="str">
        <x:v>Aman Mishra</x:v>
      </x:c>
      <x:c r="C180" s="17" t="str">
        <x:v>27-Aman.Mishra@fiib.edu.in</x:v>
      </x:c>
      <x:c r="D180" s="17" t="str">
        <x:v>91-6398390567</x:v>
      </x:c>
      <x:c r="E180" s="20" t="n">
        <x:v>0</x:v>
      </x:c>
      <x:c r="F180" s="20" t="n">
        <x:v>0</x:v>
      </x:c>
      <x:c r="G180" s="19" t="n">
        <x:v>0</x:v>
      </x:c>
      <x:c r="H180" s="18" t="n">
        <x:f>IF(E180&gt;0,E180+ROW()/100000,0)</x:f>
        <x:v>0</x:v>
      </x:c>
    </x:row>
    <x:row r="181">
      <x:c r="A181" s="21" t="str">
        <x:v>25PGDM187</x:v>
      </x:c>
      <x:c r="B181" s="17" t="str">
        <x:v>Astitva Sahu</x:v>
      </x:c>
      <x:c r="C181" s="17" t="str">
        <x:v>27-Astitva.Sahu@fiib.edu.in</x:v>
      </x:c>
      <x:c r="D181" s="17" t="str">
        <x:v>91-6262573757</x:v>
      </x:c>
      <x:c r="E181" s="20" t="n">
        <x:v>0</x:v>
      </x:c>
      <x:c r="F181" s="20" t="n">
        <x:v>0</x:v>
      </x:c>
      <x:c r="G181" s="19" t="n">
        <x:v>0</x:v>
      </x:c>
      <x:c r="H181" s="18" t="n">
        <x:f>IF(E181&gt;0,E181+ROW()/100000,0)</x:f>
        <x:v>0</x:v>
      </x:c>
    </x:row>
    <x:row r="182">
      <x:c r="A182" s="21" t="str">
        <x:v>25PGDM188</x:v>
      </x:c>
      <x:c r="B182" s="17" t="str">
        <x:v>Ayoush Panwar</x:v>
      </x:c>
      <x:c r="C182" s="17" t="str">
        <x:v>27-Ayoush.Panwar@fiib.edu.in</x:v>
      </x:c>
      <x:c r="D182" s="17" t="str">
        <x:v>91-9811656673</x:v>
      </x:c>
      <x:c r="E182" s="20" t="n">
        <x:v>0</x:v>
      </x:c>
      <x:c r="F182" s="20" t="n">
        <x:v>0</x:v>
      </x:c>
      <x:c r="G182" s="19" t="n">
        <x:v>0</x:v>
      </x:c>
      <x:c r="H182" s="18" t="n">
        <x:f>IF(E182&gt;0,E182+ROW()/100000,0)</x:f>
        <x:v>0</x:v>
      </x:c>
    </x:row>
    <x:row r="183">
      <x:c r="A183" s="21" t="str">
        <x:v>25PGDM189</x:v>
      </x:c>
      <x:c r="B183" s="17" t="str">
        <x:v>Ayush Kumar Singh</x:v>
      </x:c>
      <x:c r="C183" s="17" t="str">
        <x:v>27-Ayush.Singh@fiib.edu.in</x:v>
      </x:c>
      <x:c r="D183" s="17" t="str">
        <x:v>91-7488431880</x:v>
      </x:c>
      <x:c r="E183" s="20" t="n">
        <x:v>0</x:v>
      </x:c>
      <x:c r="F183" s="20" t="n">
        <x:v>0</x:v>
      </x:c>
      <x:c r="G183" s="19" t="n">
        <x:v>0</x:v>
      </x:c>
      <x:c r="H183" s="18" t="n">
        <x:f>IF(E183&gt;0,E183+ROW()/100000,0)</x:f>
        <x:v>0</x:v>
      </x:c>
    </x:row>
    <x:row r="184">
      <x:c r="A184" s="21" t="str">
        <x:v>25PGDM190</x:v>
      </x:c>
      <x:c r="B184" s="17" t="str">
        <x:v>Bhumika Seth</x:v>
      </x:c>
      <x:c r="C184" s="17" t="str">
        <x:v>27-Bhumika.Seth@fiib.edu.in</x:v>
      </x:c>
      <x:c r="D184" s="17" t="str">
        <x:v>91-7289803738</x:v>
      </x:c>
      <x:c r="E184" s="20" t="n">
        <x:v>0</x:v>
      </x:c>
      <x:c r="F184" s="20" t="n">
        <x:v>0</x:v>
      </x:c>
      <x:c r="G184" s="19" t="n">
        <x:v>0</x:v>
      </x:c>
      <x:c r="H184" s="18" t="n">
        <x:f>IF(E184&gt;0,E184+ROW()/100000,0)</x:f>
        <x:v>0</x:v>
      </x:c>
    </x:row>
    <x:row r="185">
      <x:c r="A185" s="21" t="str">
        <x:v>25PGDM191</x:v>
      </x:c>
      <x:c r="B185" s="17" t="str">
        <x:v>Daman</x:v>
      </x:c>
      <x:c r="C185" s="17" t="str">
        <x:v>27-Daman@fiib.edu.in</x:v>
      </x:c>
      <x:c r="D185" s="17" t="str">
        <x:v>91-7428902745</x:v>
      </x:c>
      <x:c r="E185" s="20" t="n">
        <x:v>0</x:v>
      </x:c>
      <x:c r="F185" s="20" t="n">
        <x:v>0</x:v>
      </x:c>
      <x:c r="G185" s="19" t="n">
        <x:v>0</x:v>
      </x:c>
      <x:c r="H185" s="18" t="n">
        <x:f>IF(E185&gt;0,E185+ROW()/100000,0)</x:f>
        <x:v>0</x:v>
      </x:c>
    </x:row>
    <x:row r="186">
      <x:c r="A186" s="21" t="str">
        <x:v>25PGDM192</x:v>
      </x:c>
      <x:c r="B186" s="17" t="str">
        <x:v>Deepak Sharma</x:v>
      </x:c>
      <x:c r="C186" s="17" t="str">
        <x:v>27-Deepak.Sharma@fiib.edu.in</x:v>
      </x:c>
      <x:c r="D186" s="17" t="str">
        <x:v>91-7011974647</x:v>
      </x:c>
      <x:c r="E186" s="20" t="n">
        <x:v>0</x:v>
      </x:c>
      <x:c r="F186" s="20" t="n">
        <x:v>0</x:v>
      </x:c>
      <x:c r="G186" s="19" t="n">
        <x:v>0</x:v>
      </x:c>
      <x:c r="H186" s="18" t="n">
        <x:f>IF(E186&gt;0,E186+ROW()/100000,0)</x:f>
        <x:v>0</x:v>
      </x:c>
    </x:row>
    <x:row r="187">
      <x:c r="A187" s="21" t="str">
        <x:v>25PGDM193</x:v>
      </x:c>
      <x:c r="B187" s="17" t="str">
        <x:v>Diptayan Halder</x:v>
      </x:c>
      <x:c r="C187" s="17" t="str">
        <x:v>27-Diptayan.Halder@fiib.edu.in</x:v>
      </x:c>
      <x:c r="D187" s="17" t="str">
        <x:v>91-7001023638</x:v>
      </x:c>
      <x:c r="E187" s="20" t="n">
        <x:v>0</x:v>
      </x:c>
      <x:c r="F187" s="20" t="n">
        <x:v>0</x:v>
      </x:c>
      <x:c r="G187" s="19" t="n">
        <x:v>0</x:v>
      </x:c>
      <x:c r="H187" s="18" t="n">
        <x:f>IF(E187&gt;0,E187+ROW()/100000,0)</x:f>
        <x:v>0</x:v>
      </x:c>
    </x:row>
    <x:row r="188">
      <x:c r="A188" s="21" t="str">
        <x:v>25PGDM194</x:v>
      </x:c>
      <x:c r="B188" s="17" t="str">
        <x:v>Dwaipayan Ghosh</x:v>
      </x:c>
      <x:c r="C188" s="17" t="str">
        <x:v>27-Dwaipayan.Ghosh@fiib.edu.in</x:v>
      </x:c>
      <x:c r="D188" s="17" t="str">
        <x:v>91-9007086065</x:v>
      </x:c>
      <x:c r="E188" s="20" t="n">
        <x:v>0</x:v>
      </x:c>
      <x:c r="F188" s="20" t="n">
        <x:v>0</x:v>
      </x:c>
      <x:c r="G188" s="19" t="n">
        <x:v>0</x:v>
      </x:c>
      <x:c r="H188" s="18" t="n">
        <x:f>IF(E188&gt;0,E188+ROW()/100000,0)</x:f>
        <x:v>0</x:v>
      </x:c>
    </x:row>
    <x:row r="189">
      <x:c r="A189" s="21" t="str">
        <x:v>25PGDM195</x:v>
      </x:c>
      <x:c r="B189" s="17" t="str">
        <x:v>Gaurav Mittal</x:v>
      </x:c>
      <x:c r="C189" s="17" t="str">
        <x:v>27-Gaurav.Mittal@fiib.edu.in</x:v>
      </x:c>
      <x:c r="D189" s="17" t="str">
        <x:v>91-9643295679</x:v>
      </x:c>
      <x:c r="E189" s="20" t="n">
        <x:v>0</x:v>
      </x:c>
      <x:c r="F189" s="20" t="n">
        <x:v>0</x:v>
      </x:c>
      <x:c r="G189" s="19" t="n">
        <x:v>0</x:v>
      </x:c>
      <x:c r="H189" s="18" t="n">
        <x:f>IF(E189&gt;0,E189+ROW()/100000,0)</x:f>
        <x:v>0</x:v>
      </x:c>
    </x:row>
    <x:row r="190">
      <x:c r="A190" s="21" t="str">
        <x:v>25PGDM196</x:v>
      </x:c>
      <x:c r="B190" s="17" t="str">
        <x:v>Goma Kumari</x:v>
      </x:c>
      <x:c r="C190" s="17" t="str">
        <x:v>27-Goma.Kumari@fiib.edu.in</x:v>
      </x:c>
      <x:c r="D190" s="17" t="str">
        <x:v>91-8340701989</x:v>
      </x:c>
      <x:c r="E190" s="20" t="n">
        <x:v>0</x:v>
      </x:c>
      <x:c r="F190" s="20" t="n">
        <x:v>0</x:v>
      </x:c>
      <x:c r="G190" s="19" t="n">
        <x:v>0</x:v>
      </x:c>
      <x:c r="H190" s="18" t="n">
        <x:f>IF(E190&gt;0,E190+ROW()/100000,0)</x:f>
        <x:v>0</x:v>
      </x:c>
    </x:row>
    <x:row r="191">
      <x:c r="A191" s="21" t="str">
        <x:v>25PGDM197</x:v>
      </x:c>
      <x:c r="B191" s="17" t="str">
        <x:v>Hardik Rawat</x:v>
      </x:c>
      <x:c r="C191" s="17" t="str">
        <x:v>27-Hardik.Rawat@fiib.edu.in</x:v>
      </x:c>
      <x:c r="D191" s="17" t="str">
        <x:v>91-7983040903</x:v>
      </x:c>
      <x:c r="E191" s="20" t="n">
        <x:v>0</x:v>
      </x:c>
      <x:c r="F191" s="20" t="n">
        <x:v>0</x:v>
      </x:c>
      <x:c r="G191" s="19" t="n">
        <x:v>0</x:v>
      </x:c>
      <x:c r="H191" s="18" t="n">
        <x:f>IF(E191&gt;0,E191+ROW()/100000,0)</x:f>
        <x:v>0</x:v>
      </x:c>
    </x:row>
    <x:row r="192">
      <x:c r="A192" s="21" t="str">
        <x:v>25PGDM198</x:v>
      </x:c>
      <x:c r="B192" s="17" t="str">
        <x:v>Jashika Yadav</x:v>
      </x:c>
      <x:c r="C192" s="17" t="str">
        <x:v>27-Jashika.Yadav@fiib.edu.in</x:v>
      </x:c>
      <x:c r="D192" s="17" t="str">
        <x:v>91-7678491368</x:v>
      </x:c>
      <x:c r="E192" s="20" t="n">
        <x:v>0</x:v>
      </x:c>
      <x:c r="F192" s="20" t="n">
        <x:v>0</x:v>
      </x:c>
      <x:c r="G192" s="19" t="n">
        <x:v>0</x:v>
      </x:c>
      <x:c r="H192" s="18" t="n">
        <x:f>IF(E192&gt;0,E192+ROW()/100000,0)</x:f>
        <x:v>0</x:v>
      </x:c>
    </x:row>
    <x:row r="193">
      <x:c r="A193" s="21" t="str">
        <x:v>25PGDM199</x:v>
      </x:c>
      <x:c r="B193" s="17" t="str">
        <x:v>Jatin Kumar Rajput</x:v>
      </x:c>
      <x:c r="C193" s="17" t="str">
        <x:v>27-Jatin.Rajput@fiib.edu.in</x:v>
      </x:c>
      <x:c r="D193" s="17" t="str">
        <x:v>91-8630613691</x:v>
      </x:c>
      <x:c r="E193" s="20" t="n">
        <x:v>0</x:v>
      </x:c>
      <x:c r="F193" s="20" t="n">
        <x:v>0</x:v>
      </x:c>
      <x:c r="G193" s="19" t="n">
        <x:v>0</x:v>
      </x:c>
      <x:c r="H193" s="18" t="n">
        <x:f>IF(E193&gt;0,E193+ROW()/100000,0)</x:f>
        <x:v>0</x:v>
      </x:c>
    </x:row>
    <x:row r="194">
      <x:c r="A194" s="21" t="str">
        <x:v>25PGDM200</x:v>
      </x:c>
      <x:c r="B194" s="17" t="str">
        <x:v>Jayant Singh Negi</x:v>
      </x:c>
      <x:c r="C194" s="17" t="str">
        <x:v>27-jayant.negi@fiib.edu.in</x:v>
      </x:c>
      <x:c r="D194" s="17" t="str">
        <x:v>91-9899188359</x:v>
      </x:c>
      <x:c r="E194" s="20" t="n">
        <x:v>0</x:v>
      </x:c>
      <x:c r="F194" s="20" t="n">
        <x:v>0</x:v>
      </x:c>
      <x:c r="G194" s="19" t="n">
        <x:v>0</x:v>
      </x:c>
      <x:c r="H194" s="18" t="n">
        <x:f>IF(E194&gt;0,E194+ROW()/100000,0)</x:f>
        <x:v>0</x:v>
      </x:c>
    </x:row>
    <x:row r="195">
      <x:c r="A195" s="21" t="str">
        <x:v>25PGDM201</x:v>
      </x:c>
      <x:c r="B195" s="17" t="str">
        <x:v>Jyoti Takkar</x:v>
      </x:c>
      <x:c r="C195" s="17" t="str">
        <x:v>27-Jyoti.Takkar@fiib.edu.in</x:v>
      </x:c>
      <x:c r="D195" s="17" t="str">
        <x:v>91-7042468858</x:v>
      </x:c>
      <x:c r="E195" s="20" t="n">
        <x:v>0</x:v>
      </x:c>
      <x:c r="F195" s="20" t="n">
        <x:v>0</x:v>
      </x:c>
      <x:c r="G195" s="19" t="n">
        <x:v>0</x:v>
      </x:c>
      <x:c r="H195" s="18" t="n">
        <x:f>IF(E195&gt;0,E195+ROW()/100000,0)</x:f>
        <x:v>0</x:v>
      </x:c>
    </x:row>
    <x:row r="196">
      <x:c r="A196" s="21" t="str">
        <x:v>25PGDM202</x:v>
      </x:c>
      <x:c r="B196" s="17" t="str">
        <x:v>Kanchan Negi</x:v>
      </x:c>
      <x:c r="C196" s="17" t="str">
        <x:v>27-Kanchan.Negi@fiib.edu.in</x:v>
      </x:c>
      <x:c r="D196" s="17" t="str">
        <x:v>91-9756731439</x:v>
      </x:c>
      <x:c r="E196" s="20" t="n">
        <x:v>0</x:v>
      </x:c>
      <x:c r="F196" s="20" t="n">
        <x:v>0</x:v>
      </x:c>
      <x:c r="G196" s="19" t="n">
        <x:v>0</x:v>
      </x:c>
      <x:c r="H196" s="18" t="n">
        <x:f>IF(E196&gt;0,E196+ROW()/100000,0)</x:f>
        <x:v>0</x:v>
      </x:c>
    </x:row>
    <x:row r="197">
      <x:c r="A197" s="21" t="str">
        <x:v>25PGDM203</x:v>
      </x:c>
      <x:c r="B197" s="17" t="str">
        <x:v>Kanushi Taneja</x:v>
      </x:c>
      <x:c r="C197" s="17" t="str">
        <x:v>27-Kanushi.Taneja@fiib.edu.in</x:v>
      </x:c>
      <x:c r="D197" s="17" t="str">
        <x:v>91-7838527956</x:v>
      </x:c>
      <x:c r="E197" s="20" t="n">
        <x:v>0</x:v>
      </x:c>
      <x:c r="F197" s="20" t="n">
        <x:v>0</x:v>
      </x:c>
      <x:c r="G197" s="19" t="n">
        <x:v>0</x:v>
      </x:c>
      <x:c r="H197" s="18" t="n">
        <x:f>IF(E197&gt;0,E197+ROW()/100000,0)</x:f>
        <x:v>0</x:v>
      </x:c>
    </x:row>
    <x:row r="198">
      <x:c r="A198" s="21" t="str">
        <x:v>25PGDM204</x:v>
      </x:c>
      <x:c r="B198" s="17" t="str">
        <x:v>Khushi Narang</x:v>
      </x:c>
      <x:c r="C198" s="17" t="str">
        <x:v>27-Khushi.Narang@fiib.edu.in</x:v>
      </x:c>
      <x:c r="D198" s="17" t="str">
        <x:v>91-9310086037</x:v>
      </x:c>
      <x:c r="E198" s="20" t="n">
        <x:v>0</x:v>
      </x:c>
      <x:c r="F198" s="20" t="n">
        <x:v>0</x:v>
      </x:c>
      <x:c r="G198" s="19" t="n">
        <x:v>0</x:v>
      </x:c>
      <x:c r="H198" s="18" t="n">
        <x:f>IF(E198&gt;0,E198+ROW()/100000,0)</x:f>
        <x:v>0</x:v>
      </x:c>
    </x:row>
    <x:row r="199">
      <x:c r="A199" s="21" t="str">
        <x:v>25PGDM205</x:v>
      </x:c>
      <x:c r="B199" s="17" t="str">
        <x:v>Khushi Sharma</x:v>
      </x:c>
      <x:c r="C199" s="17" t="str">
        <x:v>27-Khushi.Sharma@fiib.edu.in</x:v>
      </x:c>
      <x:c r="D199" s="17" t="str">
        <x:v>91-8882174490</x:v>
      </x:c>
      <x:c r="E199" s="20" t="n">
        <x:v>0</x:v>
      </x:c>
      <x:c r="F199" s="20" t="n">
        <x:v>0</x:v>
      </x:c>
      <x:c r="G199" s="19" t="n">
        <x:v>0</x:v>
      </x:c>
      <x:c r="H199" s="18" t="n">
        <x:f>IF(E199&gt;0,E199+ROW()/100000,0)</x:f>
        <x:v>0</x:v>
      </x:c>
    </x:row>
    <x:row r="200">
      <x:c r="A200" s="21" t="str">
        <x:v>25PGDM206</x:v>
      </x:c>
      <x:c r="B200" s="17" t="str">
        <x:v>Mahima Singh</x:v>
      </x:c>
      <x:c r="C200" s="17" t="str">
        <x:v>27-Mahima.Singh@fiib.edu.in</x:v>
      </x:c>
      <x:c r="D200" s="17" t="str">
        <x:v>91-7029571269</x:v>
      </x:c>
      <x:c r="E200" s="20" t="n">
        <x:v>0</x:v>
      </x:c>
      <x:c r="F200" s="20" t="n">
        <x:v>0</x:v>
      </x:c>
      <x:c r="G200" s="19" t="n">
        <x:v>0</x:v>
      </x:c>
      <x:c r="H200" s="18" t="n">
        <x:f>IF(E200&gt;0,E200+ROW()/100000,0)</x:f>
        <x:v>0</x:v>
      </x:c>
    </x:row>
    <x:row r="201">
      <x:c r="A201" s="21" t="str">
        <x:v>25PGDM207</x:v>
      </x:c>
      <x:c r="B201" s="17" t="str">
        <x:v>Mashetty Sumanth</x:v>
      </x:c>
      <x:c r="C201" s="17" t="str">
        <x:v>27-Mashetty.Sumanth@fiib.edu.in</x:v>
      </x:c>
      <x:c r="D201" s="17" t="str">
        <x:v>91-7981226365</x:v>
      </x:c>
      <x:c r="E201" s="20" t="n">
        <x:v>0</x:v>
      </x:c>
      <x:c r="F201" s="20" t="n">
        <x:v>0</x:v>
      </x:c>
      <x:c r="G201" s="19" t="n">
        <x:v>0</x:v>
      </x:c>
      <x:c r="H201" s="18" t="n">
        <x:f>IF(E201&gt;0,E201+ROW()/100000,0)</x:f>
        <x:v>0</x:v>
      </x:c>
    </x:row>
    <x:row r="202">
      <x:c r="A202" s="21" t="str">
        <x:v>25PGDM208</x:v>
      </x:c>
      <x:c r="B202" s="17" t="str">
        <x:v>Muskan Jain</x:v>
      </x:c>
      <x:c r="C202" s="17" t="str">
        <x:v>27-Muskan.Jain@fiib.edu.in</x:v>
      </x:c>
      <x:c r="D202" s="17" t="str">
        <x:v>91-8218029207</x:v>
      </x:c>
      <x:c r="E202" s="20" t="n">
        <x:v>0</x:v>
      </x:c>
      <x:c r="F202" s="20" t="n">
        <x:v>0</x:v>
      </x:c>
      <x:c r="G202" s="19" t="n">
        <x:v>0</x:v>
      </x:c>
      <x:c r="H202" s="18" t="n">
        <x:f>IF(E202&gt;0,E202+ROW()/100000,0)</x:f>
        <x:v>0</x:v>
      </x:c>
    </x:row>
    <x:row r="203">
      <x:c r="A203" s="21" t="str">
        <x:v>25PGDM209</x:v>
      </x:c>
      <x:c r="B203" s="17" t="str">
        <x:v>Nikhal</x:v>
      </x:c>
      <x:c r="C203" s="17" t="str">
        <x:v>27-Nikhal@fiib.edu.in</x:v>
      </x:c>
      <x:c r="D203" s="17" t="str">
        <x:v>91-9350535018</x:v>
      </x:c>
      <x:c r="E203" s="20" t="n">
        <x:v>0</x:v>
      </x:c>
      <x:c r="F203" s="20" t="n">
        <x:v>0</x:v>
      </x:c>
      <x:c r="G203" s="19" t="n">
        <x:v>0</x:v>
      </x:c>
      <x:c r="H203" s="18" t="n">
        <x:f>IF(E203&gt;0,E203+ROW()/100000,0)</x:f>
        <x:v>0</x:v>
      </x:c>
    </x:row>
    <x:row r="204">
      <x:c r="A204" s="21" t="str">
        <x:v>25PGDM210</x:v>
      </x:c>
      <x:c r="B204" s="17" t="str">
        <x:v>Palak Grover</x:v>
      </x:c>
      <x:c r="C204" s="17" t="str">
        <x:v>27-Palak.Grover@fiib.edu.in</x:v>
      </x:c>
      <x:c r="D204" s="17" t="str">
        <x:v>91-9354852885</x:v>
      </x:c>
      <x:c r="E204" s="20" t="n">
        <x:v>0</x:v>
      </x:c>
      <x:c r="F204" s="20" t="n">
        <x:v>0</x:v>
      </x:c>
      <x:c r="G204" s="19" t="n">
        <x:v>0</x:v>
      </x:c>
      <x:c r="H204" s="18" t="n">
        <x:f>IF(E204&gt;0,E204+ROW()/100000,0)</x:f>
        <x:v>0</x:v>
      </x:c>
    </x:row>
    <x:row r="205">
      <x:c r="A205" s="21" t="str">
        <x:v>25PGDM211</x:v>
      </x:c>
      <x:c r="B205" s="17" t="str">
        <x:v>Palak Srivastava</x:v>
      </x:c>
      <x:c r="C205" s="17" t="str">
        <x:v>27-Palak.Srivastava@fiib.edu.in</x:v>
      </x:c>
      <x:c r="D205" s="17" t="str">
        <x:v>91-9910548053</x:v>
      </x:c>
      <x:c r="E205" s="20" t="n">
        <x:v>0</x:v>
      </x:c>
      <x:c r="F205" s="20" t="n">
        <x:v>0</x:v>
      </x:c>
      <x:c r="G205" s="19" t="n">
        <x:v>0</x:v>
      </x:c>
      <x:c r="H205" s="18" t="n">
        <x:f>IF(E205&gt;0,E205+ROW()/100000,0)</x:f>
        <x:v>0</x:v>
      </x:c>
    </x:row>
    <x:row r="206">
      <x:c r="A206" s="21" t="str">
        <x:v>25PGDM212</x:v>
      </x:c>
      <x:c r="B206" s="17" t="str">
        <x:v>Pamela Dutta</x:v>
      </x:c>
      <x:c r="C206" s="17" t="str">
        <x:v>27-Pamela.Dutta@fiib.edu.in</x:v>
      </x:c>
      <x:c r="D206" s="17" t="str">
        <x:v>91-7001861367</x:v>
      </x:c>
      <x:c r="E206" s="20" t="n">
        <x:v>0</x:v>
      </x:c>
      <x:c r="F206" s="20" t="n">
        <x:v>0</x:v>
      </x:c>
      <x:c r="G206" s="19" t="n">
        <x:v>0</x:v>
      </x:c>
      <x:c r="H206" s="18" t="n">
        <x:f>IF(E206&gt;0,E206+ROW()/100000,0)</x:f>
        <x:v>0</x:v>
      </x:c>
    </x:row>
    <x:row r="207">
      <x:c r="A207" s="21" t="str">
        <x:v>25PGDM213</x:v>
      </x:c>
      <x:c r="B207" s="17" t="str">
        <x:v>Pradeep Kaushik</x:v>
      </x:c>
      <x:c r="C207" s="17" t="str">
        <x:v>27-Pradeep.Kaushik@fiib.edu.in</x:v>
      </x:c>
      <x:c r="D207" s="17" t="str">
        <x:v>91-9058869717</x:v>
      </x:c>
      <x:c r="E207" s="20" t="n">
        <x:v>0</x:v>
      </x:c>
      <x:c r="F207" s="20" t="n">
        <x:v>0</x:v>
      </x:c>
      <x:c r="G207" s="19" t="n">
        <x:v>0</x:v>
      </x:c>
      <x:c r="H207" s="18" t="n">
        <x:f>IF(E207&gt;0,E207+ROW()/100000,0)</x:f>
        <x:v>0</x:v>
      </x:c>
    </x:row>
    <x:row r="208">
      <x:c r="A208" s="21" t="str">
        <x:v>25PGDM214</x:v>
      </x:c>
      <x:c r="B208" s="17" t="str">
        <x:v>Prince Ranjan</x:v>
      </x:c>
      <x:c r="C208" s="17" t="str">
        <x:v>27-Prince.Ranjan@fiib.edu.in</x:v>
      </x:c>
      <x:c r="D208" s="17" t="str">
        <x:v>91-9142101500</x:v>
      </x:c>
      <x:c r="E208" s="20" t="n">
        <x:v>0</x:v>
      </x:c>
      <x:c r="F208" s="20" t="n">
        <x:v>0</x:v>
      </x:c>
      <x:c r="G208" s="19" t="n">
        <x:v>0</x:v>
      </x:c>
      <x:c r="H208" s="18" t="n">
        <x:f>IF(E208&gt;0,E208+ROW()/100000,0)</x:f>
        <x:v>0</x:v>
      </x:c>
    </x:row>
    <x:row r="209">
      <x:c r="A209" s="21" t="str">
        <x:v>25PGDM215</x:v>
      </x:c>
      <x:c r="B209" s="17" t="str">
        <x:v>Priti Mayee Behera</x:v>
      </x:c>
      <x:c r="C209" s="17" t="str">
        <x:v>27-Priti.Behra@fiib.edu.in</x:v>
      </x:c>
      <x:c r="D209" s="17" t="str">
        <x:v>91-7077285954</x:v>
      </x:c>
      <x:c r="E209" s="20" t="n">
        <x:v>0</x:v>
      </x:c>
      <x:c r="F209" s="20" t="n">
        <x:v>0</x:v>
      </x:c>
      <x:c r="G209" s="19" t="n">
        <x:v>0</x:v>
      </x:c>
      <x:c r="H209" s="18" t="n">
        <x:f>IF(E209&gt;0,E209+ROW()/100000,0)</x:f>
        <x:v>0</x:v>
      </x:c>
    </x:row>
    <x:row r="210">
      <x:c r="A210" s="21" t="str">
        <x:v>25PGDM216</x:v>
      </x:c>
      <x:c r="B210" s="17" t="str">
        <x:v>Priyanshu Kaushik</x:v>
      </x:c>
      <x:c r="C210" s="17" t="str">
        <x:v>27-Priyanshu.Kaushik@fiib.edu.in</x:v>
      </x:c>
      <x:c r="D210" s="17" t="str">
        <x:v>91-7982751299</x:v>
      </x:c>
      <x:c r="E210" s="20" t="n">
        <x:v>0</x:v>
      </x:c>
      <x:c r="F210" s="20" t="n">
        <x:v>0</x:v>
      </x:c>
      <x:c r="G210" s="19" t="n">
        <x:v>0</x:v>
      </x:c>
      <x:c r="H210" s="18" t="n">
        <x:f>IF(E210&gt;0,E210+ROW()/100000,0)</x:f>
        <x:v>0</x:v>
      </x:c>
    </x:row>
    <x:row r="211">
      <x:c r="A211" s="21" t="str">
        <x:v>25PGDM217</x:v>
      </x:c>
      <x:c r="B211" s="17" t="str">
        <x:v>Pushpanjali Deka</x:v>
      </x:c>
      <x:c r="C211" s="17" t="str">
        <x:v>27-Pushpanjali.Deka@fiib.edu.in</x:v>
      </x:c>
      <x:c r="D211" s="17" t="str">
        <x:v>91-7086656135</x:v>
      </x:c>
      <x:c r="E211" s="20" t="n">
        <x:v>0</x:v>
      </x:c>
      <x:c r="F211" s="20" t="n">
        <x:v>0</x:v>
      </x:c>
      <x:c r="G211" s="19" t="n">
        <x:v>0</x:v>
      </x:c>
      <x:c r="H211" s="18" t="n">
        <x:f>IF(E211&gt;0,E211+ROW()/100000,0)</x:f>
        <x:v>0</x:v>
      </x:c>
    </x:row>
    <x:row r="212">
      <x:c r="A212" s="21" t="str">
        <x:v>25PGDM218</x:v>
      </x:c>
      <x:c r="B212" s="17" t="str">
        <x:v>Rachita Lohiya</x:v>
      </x:c>
      <x:c r="C212" s="17" t="str">
        <x:v>27-Rachita.Lohiya@fiib.edu.in</x:v>
      </x:c>
      <x:c r="D212" s="17" t="str">
        <x:v>91-6396928177</x:v>
      </x:c>
      <x:c r="E212" s="20" t="n">
        <x:v>0</x:v>
      </x:c>
      <x:c r="F212" s="20" t="n">
        <x:v>0</x:v>
      </x:c>
      <x:c r="G212" s="19" t="n">
        <x:v>0</x:v>
      </x:c>
      <x:c r="H212" s="18" t="n">
        <x:f>IF(E212&gt;0,E212+ROW()/100000,0)</x:f>
        <x:v>0</x:v>
      </x:c>
    </x:row>
    <x:row r="213">
      <x:c r="A213" s="21" t="str">
        <x:v>25PGDM219</x:v>
      </x:c>
      <x:c r="B213" s="17" t="str">
        <x:v>Rohit Mourya</x:v>
      </x:c>
      <x:c r="C213" s="17" t="str">
        <x:v>27-Rohit.Mourya@fiib.edu.in</x:v>
      </x:c>
      <x:c r="D213" s="17" t="str">
        <x:v>91-7061609933</x:v>
      </x:c>
      <x:c r="E213" s="20" t="n">
        <x:v>0</x:v>
      </x:c>
      <x:c r="F213" s="20" t="n">
        <x:v>0</x:v>
      </x:c>
      <x:c r="G213" s="19" t="n">
        <x:v>0</x:v>
      </x:c>
      <x:c r="H213" s="18" t="n">
        <x:f>IF(E213&gt;0,E213+ROW()/100000,0)</x:f>
        <x:v>0</x:v>
      </x:c>
    </x:row>
    <x:row r="214">
      <x:c r="A214" s="21" t="str">
        <x:v>25PGDM220</x:v>
      </x:c>
      <x:c r="B214" s="17" t="str">
        <x:v>Rohit Singh</x:v>
      </x:c>
      <x:c r="C214" s="17" t="str">
        <x:v>27-Rohit.Singh@fiib.edu.in</x:v>
      </x:c>
      <x:c r="D214" s="17" t="str">
        <x:v>91-8076939919</x:v>
      </x:c>
      <x:c r="E214" s="20" t="n">
        <x:v>0</x:v>
      </x:c>
      <x:c r="F214" s="20" t="n">
        <x:v>0</x:v>
      </x:c>
      <x:c r="G214" s="19" t="n">
        <x:v>0</x:v>
      </x:c>
      <x:c r="H214" s="18" t="n">
        <x:f>IF(E214&gt;0,E214+ROW()/100000,0)</x:f>
        <x:v>0</x:v>
      </x:c>
    </x:row>
    <x:row r="215">
      <x:c r="A215" s="21" t="str">
        <x:v>25PGDM221</x:v>
      </x:c>
      <x:c r="B215" s="17" t="str">
        <x:v>Sabhya Garg</x:v>
      </x:c>
      <x:c r="C215" s="17" t="str">
        <x:v>27-Sabhya.Garg@fiib.edu.in</x:v>
      </x:c>
      <x:c r="D215" s="17" t="str">
        <x:v>91-9988396630</x:v>
      </x:c>
      <x:c r="E215" s="20" t="n">
        <x:v>0</x:v>
      </x:c>
      <x:c r="F215" s="20" t="n">
        <x:v>0</x:v>
      </x:c>
      <x:c r="G215" s="19" t="n">
        <x:v>0</x:v>
      </x:c>
      <x:c r="H215" s="18" t="n">
        <x:f>IF(E215&gt;0,E215+ROW()/100000,0)</x:f>
        <x:v>0</x:v>
      </x:c>
    </x:row>
    <x:row r="216">
      <x:c r="A216" s="21" t="str">
        <x:v>25PGDM222</x:v>
      </x:c>
      <x:c r="B216" s="17" t="str">
        <x:v>Sagar Tuteja</x:v>
      </x:c>
      <x:c r="C216" s="17" t="str">
        <x:v>27-Sagar.Tuteja@fiib.edu.in</x:v>
      </x:c>
      <x:c r="D216" s="17" t="str">
        <x:v>91-9810353401</x:v>
      </x:c>
      <x:c r="E216" s="20" t="n">
        <x:v>0</x:v>
      </x:c>
      <x:c r="F216" s="20" t="n">
        <x:v>0</x:v>
      </x:c>
      <x:c r="G216" s="19" t="n">
        <x:v>0</x:v>
      </x:c>
      <x:c r="H216" s="18" t="n">
        <x:f>IF(E216&gt;0,E216+ROW()/100000,0)</x:f>
        <x:v>0</x:v>
      </x:c>
    </x:row>
    <x:row r="217">
      <x:c r="A217" s="21" t="str">
        <x:v>25PGDM223</x:v>
      </x:c>
      <x:c r="B217" s="17" t="str">
        <x:v>Sakshi Jaiswal</x:v>
      </x:c>
      <x:c r="C217" s="17" t="str">
        <x:v>27-Sakshi.Jaiswal@fiib.edu.in</x:v>
      </x:c>
      <x:c r="D217" s="17" t="str">
        <x:v>91-8738098881</x:v>
      </x:c>
      <x:c r="E217" s="20" t="n">
        <x:v>0</x:v>
      </x:c>
      <x:c r="F217" s="20" t="n">
        <x:v>0</x:v>
      </x:c>
      <x:c r="G217" s="19" t="n">
        <x:v>0</x:v>
      </x:c>
      <x:c r="H217" s="18" t="n">
        <x:f>IF(E217&gt;0,E217+ROW()/100000,0)</x:f>
        <x:v>0</x:v>
      </x:c>
    </x:row>
    <x:row r="218">
      <x:c r="A218" s="21" t="str">
        <x:v>25PGDM224</x:v>
      </x:c>
      <x:c r="B218" s="17" t="str">
        <x:v>Sanjeet Kadian</x:v>
      </x:c>
      <x:c r="C218" s="17" t="str">
        <x:v>27-Sanjeet.Kadian@fiib.edu.in</x:v>
      </x:c>
      <x:c r="D218" s="17" t="str">
        <x:v>91-8287791358</x:v>
      </x:c>
      <x:c r="E218" s="20" t="n">
        <x:v>0</x:v>
      </x:c>
      <x:c r="F218" s="20" t="n">
        <x:v>0</x:v>
      </x:c>
      <x:c r="G218" s="19" t="n">
        <x:v>0</x:v>
      </x:c>
      <x:c r="H218" s="18" t="n">
        <x:f>IF(E218&gt;0,E218+ROW()/100000,0)</x:f>
        <x:v>0</x:v>
      </x:c>
    </x:row>
    <x:row r="219">
      <x:c r="A219" s="21" t="str">
        <x:v>25PGDM225</x:v>
      </x:c>
      <x:c r="B219" s="17" t="str">
        <x:v>Shivanshi Singh</x:v>
      </x:c>
      <x:c r="C219" s="17" t="str">
        <x:v>27-Shivanshi.Singh@fiib.edu.in</x:v>
      </x:c>
      <x:c r="D219" s="17" t="str">
        <x:v>91-9140568923</x:v>
      </x:c>
      <x:c r="E219" s="20" t="n">
        <x:v>0</x:v>
      </x:c>
      <x:c r="F219" s="20" t="n">
        <x:v>0</x:v>
      </x:c>
      <x:c r="G219" s="19" t="n">
        <x:v>0</x:v>
      </x:c>
      <x:c r="H219" s="18" t="n">
        <x:f>IF(E219&gt;0,E219+ROW()/100000,0)</x:f>
        <x:v>0</x:v>
      </x:c>
    </x:row>
    <x:row r="220">
      <x:c r="A220" s="21" t="str">
        <x:v>25PGDM226</x:v>
      </x:c>
      <x:c r="B220" s="17" t="str">
        <x:v>Shreya Sharma</x:v>
      </x:c>
      <x:c r="C220" s="17" t="str">
        <x:v>27-Shreya.Sharma@fiib.edu.in</x:v>
      </x:c>
      <x:c r="D220" s="17" t="str">
        <x:v>91-8817267015</x:v>
      </x:c>
      <x:c r="E220" s="20" t="n">
        <x:v>0</x:v>
      </x:c>
      <x:c r="F220" s="20" t="n">
        <x:v>0</x:v>
      </x:c>
      <x:c r="G220" s="19" t="n">
        <x:v>0</x:v>
      </x:c>
      <x:c r="H220" s="18" t="n">
        <x:f>IF(E220&gt;0,E220+ROW()/100000,0)</x:f>
        <x:v>0</x:v>
      </x:c>
    </x:row>
    <x:row r="221">
      <x:c r="A221" s="21" t="str">
        <x:v>25PGDM227</x:v>
      </x:c>
      <x:c r="B221" s="17" t="str">
        <x:v>Somna Pratik</x:v>
      </x:c>
      <x:c r="C221" s="17" t="str">
        <x:v>27-Somna.Pratik@fiib.edu.in</x:v>
      </x:c>
      <x:c r="D221" s="17" t="str">
        <x:v>91-9155950526</x:v>
      </x:c>
      <x:c r="E221" s="20" t="n">
        <x:v>0</x:v>
      </x:c>
      <x:c r="F221" s="20" t="n">
        <x:v>0</x:v>
      </x:c>
      <x:c r="G221" s="19" t="n">
        <x:v>0</x:v>
      </x:c>
      <x:c r="H221" s="18" t="n">
        <x:f>IF(E221&gt;0,E221+ROW()/100000,0)</x:f>
        <x:v>0</x:v>
      </x:c>
    </x:row>
    <x:row r="222">
      <x:c r="A222" s="21" t="str">
        <x:v>25PGDM228</x:v>
      </x:c>
      <x:c r="B222" s="17" t="str">
        <x:v>Somya Singhal</x:v>
      </x:c>
      <x:c r="C222" s="17" t="str">
        <x:v>27-Somya.Singhal@fiib.edu.in</x:v>
      </x:c>
      <x:c r="D222" s="17" t="str">
        <x:v>91-9958617024</x:v>
      </x:c>
      <x:c r="E222" s="20" t="n">
        <x:v>0</x:v>
      </x:c>
      <x:c r="F222" s="20" t="n">
        <x:v>0</x:v>
      </x:c>
      <x:c r="G222" s="19" t="n">
        <x:v>0</x:v>
      </x:c>
      <x:c r="H222" s="18" t="n">
        <x:f>IF(E222&gt;0,E222+ROW()/100000,0)</x:f>
        <x:v>0</x:v>
      </x:c>
    </x:row>
    <x:row r="223">
      <x:c r="A223" s="21" t="str">
        <x:v>25PGDM229</x:v>
      </x:c>
      <x:c r="B223" s="17" t="str">
        <x:v>Vaibhav Kumar Arya</x:v>
      </x:c>
      <x:c r="C223" s="17" t="str">
        <x:v>27-Vaibhav.Arya@fiib.edu.in</x:v>
      </x:c>
      <x:c r="D223" s="17" t="str">
        <x:v>91-8235035915</x:v>
      </x:c>
      <x:c r="E223" s="20" t="n">
        <x:v>0</x:v>
      </x:c>
      <x:c r="F223" s="20" t="n">
        <x:v>0</x:v>
      </x:c>
      <x:c r="G223" s="19" t="n">
        <x:v>0</x:v>
      </x:c>
      <x:c r="H223" s="18" t="n">
        <x:f>IF(E223&gt;0,E223+ROW()/100000,0)</x:f>
        <x:v>0</x:v>
      </x:c>
    </x:row>
    <x:row r="224">
      <x:c r="A224" s="21" t="str">
        <x:v>25PGDM230</x:v>
      </x:c>
      <x:c r="B224" s="17" t="str">
        <x:v>Vansh Mathur</x:v>
      </x:c>
      <x:c r="C224" s="17" t="str">
        <x:v>27-Vansh.Mathur@fiib.edu.in</x:v>
      </x:c>
      <x:c r="D224" s="17" t="str">
        <x:v>91-7303025908</x:v>
      </x:c>
      <x:c r="E224" s="20" t="n">
        <x:v>0</x:v>
      </x:c>
      <x:c r="F224" s="20" t="n">
        <x:v>0</x:v>
      </x:c>
      <x:c r="G224" s="19" t="n">
        <x:v>0</x:v>
      </x:c>
      <x:c r="H224" s="18" t="n">
        <x:f>IF(E224&gt;0,E224+ROW()/100000,0)</x:f>
        <x:v>0</x:v>
      </x:c>
    </x:row>
    <x:row r="225">
      <x:c r="A225" s="21" t="str">
        <x:v>25PGDM231</x:v>
      </x:c>
      <x:c r="B225" s="17" t="str">
        <x:v>Yash Kumar</x:v>
      </x:c>
      <x:c r="C225" s="17" t="str">
        <x:v>27-Yash.Kumar@fiib.edu.in</x:v>
      </x:c>
      <x:c r="D225" s="17" t="str">
        <x:v>91-7004617120</x:v>
      </x:c>
      <x:c r="E225" s="20" t="n">
        <x:v>0</x:v>
      </x:c>
      <x:c r="F225" s="20" t="n">
        <x:v>0</x:v>
      </x:c>
      <x:c r="G225" s="19" t="n">
        <x:v>0</x:v>
      </x:c>
      <x:c r="H225" s="18" t="n">
        <x:f>IF(E225&gt;0,E225+ROW()/100000,0)</x:f>
        <x:v>0</x:v>
      </x:c>
    </x:row>
    <x:row r="226">
      <x:c r="A226" s="21" t="str">
        <x:v>25PGDM232</x:v>
      </x:c>
      <x:c r="B226" s="17" t="str">
        <x:v>Devanshu Bector</x:v>
      </x:c>
      <x:c r="C226" s="17" t="str">
        <x:v>27-Devanshu.Bector@fiib.edu.in</x:v>
      </x:c>
      <x:c r="D226" s="17" t="str">
        <x:v>91-8759575555</x:v>
      </x:c>
      <x:c r="E226" s="20" t="n">
        <x:v>0</x:v>
      </x:c>
      <x:c r="F226" s="20" t="n">
        <x:v>0</x:v>
      </x:c>
      <x:c r="G226" s="19" t="n">
        <x:v>0</x:v>
      </x:c>
      <x:c r="H226" s="18" t="n">
        <x:f>IF(E226&gt;0,E226+ROW()/100000,0)</x:f>
        <x:v>0</x:v>
      </x:c>
    </x:row>
    <x:row r="227">
      <x:c r="A227" s="21" t="str">
        <x:v>25PGDM233</x:v>
      </x:c>
      <x:c r="B227" s="17" t="str">
        <x:v>Harsh Jaiswal</x:v>
      </x:c>
      <x:c r="C227" s="17" t="str">
        <x:v>27-Harsh.Jaiswal@fiib.edu.in</x:v>
      </x:c>
      <x:c r="D227" s="17" t="str">
        <x:v>91-8303462088</x:v>
      </x:c>
      <x:c r="E227" s="20" t="n">
        <x:v>0</x:v>
      </x:c>
      <x:c r="F227" s="20" t="n">
        <x:v>0</x:v>
      </x:c>
      <x:c r="G227" s="19" t="n">
        <x:v>0</x:v>
      </x:c>
      <x:c r="H227" s="18" t="n">
        <x:f>IF(E227&gt;0,E227+ROW()/100000,0)</x:f>
        <x:v>0</x:v>
      </x:c>
    </x:row>
    <x:row r="228">
      <x:c r="A228" s="21" t="str">
        <x:v>25PGDM234</x:v>
      </x:c>
      <x:c r="B228" s="17" t="str">
        <x:v>Shruti Jain</x:v>
      </x:c>
      <x:c r="C228" s="17" t="str">
        <x:v>27-Shruti.Jain@fiib.edu.in</x:v>
      </x:c>
      <x:c r="D228" s="17" t="str">
        <x:v>91-8109727104</x:v>
      </x:c>
      <x:c r="E228" s="20" t="n">
        <x:v>0</x:v>
      </x:c>
      <x:c r="F228" s="20" t="n">
        <x:v>0</x:v>
      </x:c>
      <x:c r="G228" s="19" t="n">
        <x:v>0</x:v>
      </x:c>
      <x:c r="H228" s="18" t="n">
        <x:f>IF(E228&gt;0,E228+ROW()/100000,0)</x:f>
        <x:v>0</x:v>
      </x:c>
    </x:row>
    <x:row r="229">
      <x:c r="A229" s="21" t="str">
        <x:v>25PGDM235</x:v>
      </x:c>
      <x:c r="B229" s="17" t="str">
        <x:v>Aryan Kashyap</x:v>
      </x:c>
      <x:c r="C229" s="17" t="str">
        <x:v>27-aryan.kashyap@fiib.edu.in</x:v>
      </x:c>
      <x:c r="D229" s="17" t="str">
        <x:v>91-9811000114</x:v>
      </x:c>
      <x:c r="E229" s="20" t="n">
        <x:v>0</x:v>
      </x:c>
      <x:c r="F229" s="20" t="n">
        <x:v>0</x:v>
      </x:c>
      <x:c r="G229" s="19" t="n">
        <x:v>0</x:v>
      </x:c>
      <x:c r="H229" s="18" t="n">
        <x:f>IF(E229&gt;0,E229+ROW()/100000,0)</x:f>
        <x:v>0</x:v>
      </x:c>
    </x:row>
    <x:row r="230">
      <x:c r="A230" s="21" t="str">
        <x:v>25PGDM236</x:v>
      </x:c>
      <x:c r="B230" s="17" t="str">
        <x:v>Anant Singhal</x:v>
      </x:c>
      <x:c r="C230" s="17" t="str">
        <x:v>27-anant.singhal@fiib.edu.in</x:v>
      </x:c>
      <x:c r="D230" s="17" t="str">
        <x:v>91-6396565709</x:v>
      </x:c>
      <x:c r="E230" s="20" t="n">
        <x:v>0</x:v>
      </x:c>
      <x:c r="F230" s="20" t="n">
        <x:v>0</x:v>
      </x:c>
      <x:c r="G230" s="19" t="n">
        <x:v>0</x:v>
      </x:c>
      <x:c r="H230" s="18" t="n">
        <x:f>IF(E230&gt;0,E230+ROW()/100000,0)</x:f>
        <x:v>0</x:v>
      </x:c>
    </x:row>
    <x:row r="231">
      <x:c r="A231" s="21" t="str">
        <x:v>25PGDM237</x:v>
      </x:c>
      <x:c r="B231" s="17" t="str">
        <x:v>Rudransh Agarwal</x:v>
      </x:c>
      <x:c r="C231" s="17" t="str">
        <x:v>27-Rudransh.Agarwal@fiib.edu.in</x:v>
      </x:c>
      <x:c r="D231" s="17" t="str">
        <x:v>91-9548155305</x:v>
      </x:c>
      <x:c r="E231" s="20" t="n">
        <x:v>0</x:v>
      </x:c>
      <x:c r="F231" s="20" t="n">
        <x:v>0</x:v>
      </x:c>
      <x:c r="G231" s="19" t="n">
        <x:v>0</x:v>
      </x:c>
      <x:c r="H231" s="18" t="n">
        <x:f>IF(E231&gt;0,E231+ROW()/100000,0)</x:f>
        <x:v>0</x:v>
      </x:c>
    </x:row>
    <x:row r="232">
      <x:c r="A232" s="21" t="str">
        <x:v>25PGDM238</x:v>
      </x:c>
      <x:c r="B232" s="17" t="str">
        <x:v>Prachi Shaw</x:v>
      </x:c>
      <x:c r="C232" s="17" t="str">
        <x:v>27-Prachi.Shaw@fiib.edu.in</x:v>
      </x:c>
      <x:c r="D232" s="17" t="str">
        <x:v>91-7439260179</x:v>
      </x:c>
      <x:c r="E232" s="20" t="n">
        <x:v>0</x:v>
      </x:c>
      <x:c r="F232" s="20" t="n">
        <x:v>0</x:v>
      </x:c>
      <x:c r="G232" s="19" t="n">
        <x:v>0</x:v>
      </x:c>
      <x:c r="H232" s="18" t="n">
        <x:f>IF(E232&gt;0,E232+ROW()/100000,0)</x:f>
        <x:v>0</x:v>
      </x:c>
    </x:row>
    <x:row r="233">
      <x:c r="A233" s="21" t="str">
        <x:v>25PGDM239</x:v>
      </x:c>
      <x:c r="B233" s="17" t="str">
        <x:v>Shruti Shaw</x:v>
      </x:c>
      <x:c r="C233" s="17" t="str">
        <x:v>27-Shruti.Shaw@fiib.edu.in</x:v>
      </x:c>
      <x:c r="D233" s="17" t="str">
        <x:v>91-8910600872</x:v>
      </x:c>
      <x:c r="E233" s="20" t="n">
        <x:v>0</x:v>
      </x:c>
      <x:c r="F233" s="20" t="n">
        <x:v>0</x:v>
      </x:c>
      <x:c r="G233" s="19" t="n">
        <x:v>0</x:v>
      </x:c>
      <x:c r="H233" s="18" t="n">
        <x:f>IF(E233&gt;0,E233+ROW()/100000,0)</x:f>
        <x:v>0</x:v>
      </x:c>
    </x:row>
    <x:row r="234">
      <x:c r="A234" s="21" t="str">
        <x:v>25PGDM240</x:v>
      </x:c>
      <x:c r="B234" s="17" t="str">
        <x:v>Rajdeep Maity</x:v>
      </x:c>
      <x:c r="C234" s="17" t="str">
        <x:v>27-rajdeep.maity@fiib.edu.in</x:v>
      </x:c>
      <x:c r="D234" s="17" t="str">
        <x:v>91-9953937440</x:v>
      </x:c>
      <x:c r="E234" s="20" t="n">
        <x:v>0</x:v>
      </x:c>
      <x:c r="F234" s="20" t="n">
        <x:v>0</x:v>
      </x:c>
      <x:c r="G234" s="19" t="n">
        <x:v>0</x:v>
      </x:c>
      <x:c r="H234" s="18" t="n">
        <x:f>IF(E234&gt;0,E234+ROW()/100000,0)</x:f>
        <x:v>0</x:v>
      </x:c>
    </x:row>
    <x:row r="235">
      <x:c r="A235" s="21" t="str">
        <x:v>25PGDM241</x:v>
      </x:c>
      <x:c r="B235" s="17" t="str">
        <x:v>Sagar</x:v>
      </x:c>
      <x:c r="C235" s="17" t="str">
        <x:v>27-sagar@fiib.edu.in</x:v>
      </x:c>
      <x:c r="D235" s="17" t="str">
        <x:v>91-8708740773</x:v>
      </x:c>
      <x:c r="E235" s="20" t="n">
        <x:v>0</x:v>
      </x:c>
      <x:c r="F235" s="20" t="n">
        <x:v>0</x:v>
      </x:c>
      <x:c r="G235" s="19" t="n">
        <x:v>0</x:v>
      </x:c>
      <x:c r="H235" s="18" t="n">
        <x:f>IF(E235&gt;0,E235+ROW()/100000,0)</x:f>
        <x:v>0</x:v>
      </x:c>
    </x:row>
    <x:row r="236">
      <x:c r="A236" s="21" t="str">
        <x:v>25PGDM242</x:v>
      </x:c>
      <x:c r="B236" s="17" t="str">
        <x:v>Koushal Sharma</x:v>
      </x:c>
      <x:c r="C236" s="17" t="str">
        <x:v>27-koushal.sharma@fiib.edu.in</x:v>
      </x:c>
      <x:c r="D236" s="17" t="str">
        <x:v>91-6201839434</x:v>
      </x:c>
      <x:c r="E236" s="20" t="n">
        <x:v>0</x:v>
      </x:c>
      <x:c r="F236" s="20" t="n">
        <x:v>0</x:v>
      </x:c>
      <x:c r="G236" s="19" t="n">
        <x:v>0</x:v>
      </x:c>
      <x:c r="H236" s="18" t="n">
        <x:f>IF(E236&gt;0,E236+ROW()/100000,0)</x:f>
        <x:v>0</x:v>
      </x:c>
    </x:row>
    <x:row r="237">
      <x:c r="A237" s="21" t="str">
        <x:v>25PGDM243</x:v>
      </x:c>
      <x:c r="B237" s="17" t="str">
        <x:v>Nikhil Kumar</x:v>
      </x:c>
      <x:c r="C237" s="17" t="str">
        <x:v>27-nikhil.kumar@fiib.edu.in</x:v>
      </x:c>
      <x:c r="D237" s="17" t="str">
        <x:v>91-9116711880</x:v>
      </x:c>
      <x:c r="E237" s="20" t="n">
        <x:v>0</x:v>
      </x:c>
      <x:c r="F237" s="20" t="n">
        <x:v>0</x:v>
      </x:c>
      <x:c r="G237" s="19" t="n">
        <x:v>0</x:v>
      </x:c>
      <x:c r="H237" s="18" t="n">
        <x:f>IF(E237&gt;0,E237+ROW()/100000,0)</x:f>
        <x:v>0</x:v>
      </x:c>
    </x:row>
    <x:row r="238">
      <x:c r="A238" s="21" t="str">
        <x:v>25PGDM244</x:v>
      </x:c>
      <x:c r="B238" s="17" t="str">
        <x:v>Pawan Kumar Jha</x:v>
      </x:c>
      <x:c r="C238" s="17" t="str">
        <x:v>27-pawan.jha@fiib.edu.in</x:v>
      </x:c>
      <x:c r="D238" s="17" t="str">
        <x:v>91-6299188309</x:v>
      </x:c>
      <x:c r="E238" s="20" t="n">
        <x:v>0</x:v>
      </x:c>
      <x:c r="F238" s="20" t="n">
        <x:v>0</x:v>
      </x:c>
      <x:c r="G238" s="19" t="n">
        <x:v>0</x:v>
      </x:c>
      <x:c r="H238" s="18" t="n">
        <x:f>IF(E238&gt;0,E238+ROW()/100000,0)</x:f>
        <x:v>0</x:v>
      </x:c>
    </x:row>
    <x:row r="239">
      <x:c r="A239" s="21" t="str">
        <x:v>25PGDM247</x:v>
      </x:c>
      <x:c r="B239" s="17" t="str">
        <x:v>Pragya Bharti</x:v>
      </x:c>
      <x:c r="C239" s="17" t="str">
        <x:v>27-pragya.bharti@fiib.edu.in</x:v>
      </x:c>
      <x:c r="D239" s="17" t="str">
        <x:v>91-7368083629</x:v>
      </x:c>
      <x:c r="E239" s="20" t="n">
        <x:v>0</x:v>
      </x:c>
      <x:c r="F239" s="20" t="n">
        <x:v>0</x:v>
      </x:c>
      <x:c r="G239" s="19" t="n">
        <x:v>0</x:v>
      </x:c>
      <x:c r="H239" s="18" t="n">
        <x:f>IF(E239&gt;0,E239+ROW()/100000,0)</x:f>
        <x:v>0</x:v>
      </x:c>
    </x:row>
    <x:row r="240">
      <x:c r="A240" s="21" t="str">
        <x:v>25PGDMFM001</x:v>
      </x:c>
      <x:c r="B240" s="17" t="str">
        <x:v>Aayush -</x:v>
      </x:c>
      <x:c r="C240" s="17" t="str">
        <x:v>27-Aayush@fiib.edu.in</x:v>
      </x:c>
      <x:c r="D240" s="17" t="str">
        <x:v>91-7488680103</x:v>
      </x:c>
      <x:c r="E240" s="20" t="n">
        <x:v>0</x:v>
      </x:c>
      <x:c r="F240" s="20" t="n">
        <x:v>0</x:v>
      </x:c>
      <x:c r="G240" s="19" t="n">
        <x:v>0</x:v>
      </x:c>
      <x:c r="H240" s="18" t="n">
        <x:f>IF(E240&gt;0,E240+ROW()/100000,0)</x:f>
        <x:v>0</x:v>
      </x:c>
    </x:row>
    <x:row r="241">
      <x:c r="A241" s="21" t="str">
        <x:v>25PGDMFM002</x:v>
      </x:c>
      <x:c r="B241" s="17" t="str">
        <x:v>Abhay Rajput</x:v>
      </x:c>
      <x:c r="C241" s="17" t="str">
        <x:v>27-Abhay.Rajput@fiib.edu.in</x:v>
      </x:c>
      <x:c r="D241" s="17" t="str">
        <x:v>91-7307980874</x:v>
      </x:c>
      <x:c r="E241" s="20" t="n">
        <x:v>0</x:v>
      </x:c>
      <x:c r="F241" s="20" t="n">
        <x:v>0</x:v>
      </x:c>
      <x:c r="G241" s="19" t="n">
        <x:v>0</x:v>
      </x:c>
      <x:c r="H241" s="18" t="n">
        <x:f>IF(E241&gt;0,E241+ROW()/100000,0)</x:f>
        <x:v>0</x:v>
      </x:c>
    </x:row>
    <x:row r="242">
      <x:c r="A242" s="21" t="str">
        <x:v>25PGDMFM003</x:v>
      </x:c>
      <x:c r="B242" s="17" t="str">
        <x:v>Abhinav Bansal</x:v>
      </x:c>
      <x:c r="C242" s="17" t="str">
        <x:v>27-Abhinav.Bansal@fiib.edu.in</x:v>
      </x:c>
      <x:c r="D242" s="17" t="str">
        <x:v>91-6396785474</x:v>
      </x:c>
      <x:c r="E242" s="20" t="n">
        <x:v>0</x:v>
      </x:c>
      <x:c r="F242" s="20" t="n">
        <x:v>0</x:v>
      </x:c>
      <x:c r="G242" s="19" t="n">
        <x:v>0</x:v>
      </x:c>
      <x:c r="H242" s="18" t="n">
        <x:f>IF(E242&gt;0,E242+ROW()/100000,0)</x:f>
        <x:v>0</x:v>
      </x:c>
    </x:row>
    <x:row r="243">
      <x:c r="A243" s="21" t="str">
        <x:v>25PGDMFM004</x:v>
      </x:c>
      <x:c r="B243" s="17" t="str">
        <x:v>Adarsh Mishra</x:v>
      </x:c>
      <x:c r="C243" s="17" t="str">
        <x:v>27-Adarsh.Mishra@fiib.edu.in</x:v>
      </x:c>
      <x:c r="D243" s="17" t="str">
        <x:v>91-8738854782</x:v>
      </x:c>
      <x:c r="E243" s="20" t="n">
        <x:v>0</x:v>
      </x:c>
      <x:c r="F243" s="20" t="n">
        <x:v>0</x:v>
      </x:c>
      <x:c r="G243" s="19" t="n">
        <x:v>0</x:v>
      </x:c>
      <x:c r="H243" s="18" t="n">
        <x:f>IF(E243&gt;0,E243+ROW()/100000,0)</x:f>
        <x:v>0</x:v>
      </x:c>
    </x:row>
    <x:row r="244">
      <x:c r="A244" s="21" t="str">
        <x:v>25PGDMFM005</x:v>
      </x:c>
      <x:c r="B244" s="17" t="str">
        <x:v>Adarsh Kumar Tiwari</x:v>
      </x:c>
      <x:c r="C244" s="17" t="str">
        <x:v>27-Adarsh.Tiwari@fiib.edu.in</x:v>
      </x:c>
      <x:c r="D244" s="17" t="str">
        <x:v>91-7011654765</x:v>
      </x:c>
      <x:c r="E244" s="20" t="n">
        <x:v>0</x:v>
      </x:c>
      <x:c r="F244" s="20" t="n">
        <x:v>0</x:v>
      </x:c>
      <x:c r="G244" s="19" t="n">
        <x:v>0</x:v>
      </x:c>
      <x:c r="H244" s="18" t="n">
        <x:f>IF(E244&gt;0,E244+ROW()/100000,0)</x:f>
        <x:v>0</x:v>
      </x:c>
    </x:row>
    <x:row r="245">
      <x:c r="A245" s="21" t="str">
        <x:v>25PGDMFM006</x:v>
      </x:c>
      <x:c r="B245" s="17" t="str">
        <x:v>Akansha Saini</x:v>
      </x:c>
      <x:c r="C245" s="17" t="str">
        <x:v>27-Akansha.Saini@fiib.edu.in</x:v>
      </x:c>
      <x:c r="D245" s="17" t="str">
        <x:v>91-9661026795</x:v>
      </x:c>
      <x:c r="E245" s="20" t="n">
        <x:v>0</x:v>
      </x:c>
      <x:c r="F245" s="20" t="n">
        <x:v>0</x:v>
      </x:c>
      <x:c r="G245" s="19" t="n">
        <x:v>0</x:v>
      </x:c>
      <x:c r="H245" s="18" t="n">
        <x:f>IF(E245&gt;0,E245+ROW()/100000,0)</x:f>
        <x:v>0</x:v>
      </x:c>
    </x:row>
    <x:row r="246">
      <x:c r="A246" s="21" t="str">
        <x:v>25PGDMFM007</x:v>
      </x:c>
      <x:c r="B246" s="17" t="str">
        <x:v>Akash Kumar</x:v>
      </x:c>
      <x:c r="C246" s="17" t="str">
        <x:v>27-Akash.Kumar@fiib.edu.in</x:v>
      </x:c>
      <x:c r="D246" s="17" t="str">
        <x:v>91-8789426123</x:v>
      </x:c>
      <x:c r="E246" s="20" t="n">
        <x:v>0</x:v>
      </x:c>
      <x:c r="F246" s="20" t="n">
        <x:v>0</x:v>
      </x:c>
      <x:c r="G246" s="19" t="n">
        <x:v>0</x:v>
      </x:c>
      <x:c r="H246" s="18" t="n">
        <x:f>IF(E246&gt;0,E246+ROW()/100000,0)</x:f>
        <x:v>0</x:v>
      </x:c>
    </x:row>
    <x:row r="247">
      <x:c r="A247" s="21" t="str">
        <x:v>25PGDMFM008</x:v>
      </x:c>
      <x:c r="B247" s="17" t="str">
        <x:v>Akshat Lamba</x:v>
      </x:c>
      <x:c r="C247" s="17" t="str">
        <x:v>27-Akshat.Lamba@fiib.edu.in</x:v>
      </x:c>
      <x:c r="D247" s="17" t="str">
        <x:v>91-9205175998</x:v>
      </x:c>
      <x:c r="E247" s="20" t="n">
        <x:v>0</x:v>
      </x:c>
      <x:c r="F247" s="20" t="n">
        <x:v>0</x:v>
      </x:c>
      <x:c r="G247" s="19" t="n">
        <x:v>0</x:v>
      </x:c>
      <x:c r="H247" s="18" t="n">
        <x:f>IF(E247&gt;0,E247+ROW()/100000,0)</x:f>
        <x:v>0</x:v>
      </x:c>
    </x:row>
    <x:row r="248">
      <x:c r="A248" s="21" t="str">
        <x:v>25PGDMFM009</x:v>
      </x:c>
      <x:c r="B248" s="17" t="str">
        <x:v>Akshat Singh</x:v>
      </x:c>
      <x:c r="C248" s="17" t="str">
        <x:v>27-Akshat.Singh@fiib.edu.in</x:v>
      </x:c>
      <x:c r="D248" s="17" t="str">
        <x:v>91-7903867578</x:v>
      </x:c>
      <x:c r="E248" s="20" t="n">
        <x:v>0</x:v>
      </x:c>
      <x:c r="F248" s="20" t="n">
        <x:v>0</x:v>
      </x:c>
      <x:c r="G248" s="19" t="n">
        <x:v>0</x:v>
      </x:c>
      <x:c r="H248" s="18" t="n">
        <x:f>IF(E248&gt;0,E248+ROW()/100000,0)</x:f>
        <x:v>0</x:v>
      </x:c>
    </x:row>
    <x:row r="249">
      <x:c r="A249" s="21" t="str">
        <x:v>25PGDMFM010</x:v>
      </x:c>
      <x:c r="B249" s="17" t="str">
        <x:v>Anjali Gupta</x:v>
      </x:c>
      <x:c r="C249" s="17" t="str">
        <x:v>27-Anjali.Gupta@fiib.edu.in</x:v>
      </x:c>
      <x:c r="D249" s="17" t="str">
        <x:v>91-8595423264</x:v>
      </x:c>
      <x:c r="E249" s="20" t="n">
        <x:v>0</x:v>
      </x:c>
      <x:c r="F249" s="20" t="n">
        <x:v>0</x:v>
      </x:c>
      <x:c r="G249" s="19" t="n">
        <x:v>0</x:v>
      </x:c>
      <x:c r="H249" s="18" t="n">
        <x:f>IF(E249&gt;0,E249+ROW()/100000,0)</x:f>
        <x:v>0</x:v>
      </x:c>
    </x:row>
    <x:row r="250">
      <x:c r="A250" s="21" t="str">
        <x:v>25PGDMFM011</x:v>
      </x:c>
      <x:c r="B250" s="17" t="str">
        <x:v>Anshumaan Sharma</x:v>
      </x:c>
      <x:c r="C250" s="17" t="str">
        <x:v>27-Anshumaan.Sharma@fiib.edu.in</x:v>
      </x:c>
      <x:c r="D250" s="17" t="str">
        <x:v>91-8103388626</x:v>
      </x:c>
      <x:c r="E250" s="20" t="n">
        <x:v>0</x:v>
      </x:c>
      <x:c r="F250" s="20" t="n">
        <x:v>0</x:v>
      </x:c>
      <x:c r="G250" s="19" t="n">
        <x:v>0</x:v>
      </x:c>
      <x:c r="H250" s="18" t="n">
        <x:f>IF(E250&gt;0,E250+ROW()/100000,0)</x:f>
        <x:v>0</x:v>
      </x:c>
    </x:row>
    <x:row r="251">
      <x:c r="A251" s="21" t="str">
        <x:v>25PGDMFM012</x:v>
      </x:c>
      <x:c r="B251" s="17" t="str">
        <x:v>Anurag Kumar</x:v>
      </x:c>
      <x:c r="C251" s="17" t="str">
        <x:v>27-Anurag.Kumar@fiib.edu.in</x:v>
      </x:c>
      <x:c r="D251" s="17" t="str">
        <x:v>91-7666051345</x:v>
      </x:c>
      <x:c r="E251" s="20" t="n">
        <x:v>0</x:v>
      </x:c>
      <x:c r="F251" s="20" t="n">
        <x:v>0</x:v>
      </x:c>
      <x:c r="G251" s="19" t="n">
        <x:v>0</x:v>
      </x:c>
      <x:c r="H251" s="18" t="n">
        <x:f>IF(E251&gt;0,E251+ROW()/100000,0)</x:f>
        <x:v>0</x:v>
      </x:c>
    </x:row>
    <x:row r="252">
      <x:c r="A252" s="21" t="str">
        <x:v>25PGDMFM013</x:v>
      </x:c>
      <x:c r="B252" s="17" t="str">
        <x:v>Anurag Nanda</x:v>
      </x:c>
      <x:c r="C252" s="17" t="str">
        <x:v>27-anurag.nanda@fiib.edu.in</x:v>
      </x:c>
      <x:c r="D252" s="17" t="str">
        <x:v>91-9990918347</x:v>
      </x:c>
      <x:c r="E252" s="20" t="n">
        <x:v>0</x:v>
      </x:c>
      <x:c r="F252" s="20" t="n">
        <x:v>0</x:v>
      </x:c>
      <x:c r="G252" s="19" t="n">
        <x:v>0</x:v>
      </x:c>
      <x:c r="H252" s="18" t="n">
        <x:f>IF(E252&gt;0,E252+ROW()/100000,0)</x:f>
        <x:v>0</x:v>
      </x:c>
    </x:row>
    <x:row r="253">
      <x:c r="A253" s="21" t="str">
        <x:v>25PGDMFM014</x:v>
      </x:c>
      <x:c r="B253" s="17" t="str">
        <x:v>Aryan Chauhan</x:v>
      </x:c>
      <x:c r="C253" s="17" t="str">
        <x:v>27-Aryan.Chauhan@fiib.edu.in</x:v>
      </x:c>
      <x:c r="D253" s="17" t="str">
        <x:v>91-8595833738</x:v>
      </x:c>
      <x:c r="E253" s="20" t="n">
        <x:v>0</x:v>
      </x:c>
      <x:c r="F253" s="20" t="n">
        <x:v>0</x:v>
      </x:c>
      <x:c r="G253" s="19" t="n">
        <x:v>0</x:v>
      </x:c>
      <x:c r="H253" s="18" t="n">
        <x:f>IF(E253&gt;0,E253+ROW()/100000,0)</x:f>
        <x:v>0</x:v>
      </x:c>
    </x:row>
    <x:row r="254">
      <x:c r="A254" s="21" t="str">
        <x:v>25PGDMFM015</x:v>
      </x:c>
      <x:c r="B254" s="17" t="str">
        <x:v>Ekshit Upadhyay</x:v>
      </x:c>
      <x:c r="C254" s="17" t="str">
        <x:v>27-Ekshit.Upadhyay@fiib.edu.in</x:v>
      </x:c>
      <x:c r="D254" s="17" t="str">
        <x:v>91-8858770797</x:v>
      </x:c>
      <x:c r="E254" s="20" t="n">
        <x:v>0</x:v>
      </x:c>
      <x:c r="F254" s="20" t="n">
        <x:v>0</x:v>
      </x:c>
      <x:c r="G254" s="19" t="n">
        <x:v>0</x:v>
      </x:c>
      <x:c r="H254" s="18" t="n">
        <x:f>IF(E254&gt;0,E254+ROW()/100000,0)</x:f>
        <x:v>0</x:v>
      </x:c>
    </x:row>
    <x:row r="255">
      <x:c r="A255" s="21" t="str">
        <x:v>25PGDMFM016</x:v>
      </x:c>
      <x:c r="B255" s="17" t="str">
        <x:v>Hitesh Rathi</x:v>
      </x:c>
      <x:c r="C255" s="17" t="str">
        <x:v>27-Hitesh.Rathi@fiib.edu.in</x:v>
      </x:c>
      <x:c r="D255" s="17" t="str">
        <x:v>91-9310342277</x:v>
      </x:c>
      <x:c r="E255" s="20" t="n">
        <x:v>0</x:v>
      </x:c>
      <x:c r="F255" s="20" t="n">
        <x:v>0</x:v>
      </x:c>
      <x:c r="G255" s="19" t="n">
        <x:v>0</x:v>
      </x:c>
      <x:c r="H255" s="18" t="n">
        <x:f>IF(E255&gt;0,E255+ROW()/100000,0)</x:f>
        <x:v>0</x:v>
      </x:c>
    </x:row>
    <x:row r="256">
      <x:c r="A256" s="21" t="str">
        <x:v>25PGDMFM017</x:v>
      </x:c>
      <x:c r="B256" s="17" t="str">
        <x:v>Kanika Jain</x:v>
      </x:c>
      <x:c r="C256" s="17" t="str">
        <x:v>27-Kanika.Jain@fiib.edu.in</x:v>
      </x:c>
      <x:c r="D256" s="17" t="str">
        <x:v>91-8604616636</x:v>
      </x:c>
      <x:c r="E256" s="20" t="n">
        <x:v>0</x:v>
      </x:c>
      <x:c r="F256" s="20" t="n">
        <x:v>0</x:v>
      </x:c>
      <x:c r="G256" s="19" t="n">
        <x:v>0</x:v>
      </x:c>
      <x:c r="H256" s="18" t="n">
        <x:f>IF(E256&gt;0,E256+ROW()/100000,0)</x:f>
        <x:v>0</x:v>
      </x:c>
    </x:row>
    <x:row r="257">
      <x:c r="A257" s="21" t="str">
        <x:v>25PGDMFM018</x:v>
      </x:c>
      <x:c r="B257" s="17" t="str">
        <x:v>Kapis Kushwha</x:v>
      </x:c>
      <x:c r="C257" s="17" t="str">
        <x:v>27-Kapis.Kushwha@fiib.edu.in</x:v>
      </x:c>
      <x:c r="D257" s="17" t="str">
        <x:v>91-8287601737</x:v>
      </x:c>
      <x:c r="E257" s="20" t="n">
        <x:v>0</x:v>
      </x:c>
      <x:c r="F257" s="20" t="n">
        <x:v>0</x:v>
      </x:c>
      <x:c r="G257" s="19" t="n">
        <x:v>0</x:v>
      </x:c>
      <x:c r="H257" s="18" t="n">
        <x:f>IF(E257&gt;0,E257+ROW()/100000,0)</x:f>
        <x:v>0</x:v>
      </x:c>
    </x:row>
    <x:row r="258">
      <x:c r="A258" s="21" t="str">
        <x:v>25PGDMFM019</x:v>
      </x:c>
      <x:c r="B258" s="17" t="str">
        <x:v>Khushboo Soni</x:v>
      </x:c>
      <x:c r="C258" s="17" t="str">
        <x:v>27-Khushboo.Soni@fiib.edu.in</x:v>
      </x:c>
      <x:c r="D258" s="17" t="str">
        <x:v>91-7877140408</x:v>
      </x:c>
      <x:c r="E258" s="20" t="n">
        <x:v>0</x:v>
      </x:c>
      <x:c r="F258" s="20" t="n">
        <x:v>0</x:v>
      </x:c>
      <x:c r="G258" s="19" t="n">
        <x:v>0</x:v>
      </x:c>
      <x:c r="H258" s="18" t="n">
        <x:f>IF(E258&gt;0,E258+ROW()/100000,0)</x:f>
        <x:v>0</x:v>
      </x:c>
    </x:row>
    <x:row r="259">
      <x:c r="A259" s="21" t="str">
        <x:v>25PGDMFM020</x:v>
      </x:c>
      <x:c r="B259" s="17" t="str">
        <x:v>Khushi Gaba</x:v>
      </x:c>
      <x:c r="C259" s="17" t="str">
        <x:v>27-Khushi.Gaba@fiib.edu.in</x:v>
      </x:c>
      <x:c r="D259" s="17" t="str">
        <x:v>91-7453073515</x:v>
      </x:c>
      <x:c r="E259" s="20" t="n">
        <x:v>0</x:v>
      </x:c>
      <x:c r="F259" s="20" t="n">
        <x:v>0</x:v>
      </x:c>
      <x:c r="G259" s="19" t="n">
        <x:v>0</x:v>
      </x:c>
      <x:c r="H259" s="18" t="n">
        <x:f>IF(E259&gt;0,E259+ROW()/100000,0)</x:f>
        <x:v>0</x:v>
      </x:c>
    </x:row>
    <x:row r="260">
      <x:c r="A260" s="21" t="str">
        <x:v>25PGDMFM021</x:v>
      </x:c>
      <x:c r="B260" s="17" t="str">
        <x:v>Kiran</x:v>
      </x:c>
      <x:c r="C260" s="17" t="str">
        <x:v>27-Kiran@fiib.edu.in</x:v>
      </x:c>
      <x:c r="D260" s="17" t="str">
        <x:v>91-7011477691</x:v>
      </x:c>
      <x:c r="E260" s="20" t="n">
        <x:v>0</x:v>
      </x:c>
      <x:c r="F260" s="20" t="n">
        <x:v>0</x:v>
      </x:c>
      <x:c r="G260" s="19" t="n">
        <x:v>0</x:v>
      </x:c>
      <x:c r="H260" s="18" t="n">
        <x:f>IF(E260&gt;0,E260+ROW()/100000,0)</x:f>
        <x:v>0</x:v>
      </x:c>
    </x:row>
    <x:row r="261">
      <x:c r="A261" s="21" t="str">
        <x:v>25PGDMFM022</x:v>
      </x:c>
      <x:c r="B261" s="17" t="str">
        <x:v>Kvbg Swamy</x:v>
      </x:c>
      <x:c r="C261" s="17" t="str">
        <x:v>27-Kvbg.Swamy@fiib.edu.in</x:v>
      </x:c>
      <x:c r="D261" s="17" t="str">
        <x:v>91-7995580704</x:v>
      </x:c>
      <x:c r="E261" s="20" t="n">
        <x:v>0</x:v>
      </x:c>
      <x:c r="F261" s="20" t="n">
        <x:v>0</x:v>
      </x:c>
      <x:c r="G261" s="19" t="n">
        <x:v>0</x:v>
      </x:c>
      <x:c r="H261" s="18" t="n">
        <x:f>IF(E261&gt;0,E261+ROW()/100000,0)</x:f>
        <x:v>0</x:v>
      </x:c>
    </x:row>
    <x:row r="262">
      <x:c r="A262" s="21" t="str">
        <x:v>25PGDMFM023</x:v>
      </x:c>
      <x:c r="B262" s="17" t="str">
        <x:v>Lakshya</x:v>
      </x:c>
      <x:c r="C262" s="17" t="str">
        <x:v>27-Lakshya@fiib.edu.in</x:v>
      </x:c>
      <x:c r="D262" s="17" t="str">
        <x:v>91-9599795354</x:v>
      </x:c>
      <x:c r="E262" s="20" t="n">
        <x:v>0</x:v>
      </x:c>
      <x:c r="F262" s="20" t="n">
        <x:v>0</x:v>
      </x:c>
      <x:c r="G262" s="19" t="n">
        <x:v>0</x:v>
      </x:c>
      <x:c r="H262" s="18" t="n">
        <x:f>IF(E262&gt;0,E262+ROW()/100000,0)</x:f>
        <x:v>0</x:v>
      </x:c>
    </x:row>
    <x:row r="263">
      <x:c r="A263" s="21" t="str">
        <x:v>25PGDMFM024</x:v>
      </x:c>
      <x:c r="B263" s="17" t="str">
        <x:v>Manan Singh Wadhwa</x:v>
      </x:c>
      <x:c r="C263" s="17" t="str">
        <x:v>27-Manan.Wadhwa@fiib.edu.in</x:v>
      </x:c>
      <x:c r="D263" s="17" t="str">
        <x:v>91-8700122725</x:v>
      </x:c>
      <x:c r="E263" s="20" t="n">
        <x:v>0</x:v>
      </x:c>
      <x:c r="F263" s="20" t="n">
        <x:v>0</x:v>
      </x:c>
      <x:c r="G263" s="19" t="n">
        <x:v>0</x:v>
      </x:c>
      <x:c r="H263" s="18" t="n">
        <x:f>IF(E263&gt;0,E263+ROW()/100000,0)</x:f>
        <x:v>0</x:v>
      </x:c>
    </x:row>
    <x:row r="264">
      <x:c r="A264" s="21" t="str">
        <x:v>25PGDMFM025</x:v>
      </x:c>
      <x:c r="B264" s="17" t="str">
        <x:v>Manvi Verma</x:v>
      </x:c>
      <x:c r="C264" s="17" t="str">
        <x:v>27-Manvi.Verma@fiib.edu.in</x:v>
      </x:c>
      <x:c r="D264" s="17" t="str">
        <x:v>91-8077609998</x:v>
      </x:c>
      <x:c r="E264" s="20" t="n">
        <x:v>0</x:v>
      </x:c>
      <x:c r="F264" s="20" t="n">
        <x:v>0</x:v>
      </x:c>
      <x:c r="G264" s="19" t="n">
        <x:v>0</x:v>
      </x:c>
      <x:c r="H264" s="18" t="n">
        <x:f>IF(E264&gt;0,E264+ROW()/100000,0)</x:f>
        <x:v>0</x:v>
      </x:c>
    </x:row>
    <x:row r="265">
      <x:c r="A265" s="21" t="str">
        <x:v>25PGDMFM026</x:v>
      </x:c>
      <x:c r="B265" s="17" t="str">
        <x:v>Naina Kumari</x:v>
      </x:c>
      <x:c r="C265" s="17" t="str">
        <x:v>27-Naina.Kumari@fiib.edu.in</x:v>
      </x:c>
      <x:c r="D265" s="17" t="str">
        <x:v>91-7355655153</x:v>
      </x:c>
      <x:c r="E265" s="20" t="n">
        <x:v>0</x:v>
      </x:c>
      <x:c r="F265" s="20" t="n">
        <x:v>0</x:v>
      </x:c>
      <x:c r="G265" s="19" t="n">
        <x:v>0</x:v>
      </x:c>
      <x:c r="H265" s="18" t="n">
        <x:f>IF(E265&gt;0,E265+ROW()/100000,0)</x:f>
        <x:v>0</x:v>
      </x:c>
    </x:row>
    <x:row r="266">
      <x:c r="A266" s="21" t="str">
        <x:v>25PGDMFM027</x:v>
      </x:c>
      <x:c r="B266" s="17" t="str">
        <x:v>Palak Upadhyay</x:v>
      </x:c>
      <x:c r="C266" s="17" t="str">
        <x:v>27-palak.upadhyay@fiib.edu.in</x:v>
      </x:c>
      <x:c r="D266" s="17" t="str">
        <x:v>91-9310518586</x:v>
      </x:c>
      <x:c r="E266" s="20" t="n">
        <x:v>0</x:v>
      </x:c>
      <x:c r="F266" s="20" t="n">
        <x:v>0</x:v>
      </x:c>
      <x:c r="G266" s="19" t="n">
        <x:v>0</x:v>
      </x:c>
      <x:c r="H266" s="18" t="n">
        <x:f>IF(E266&gt;0,E266+ROW()/100000,0)</x:f>
        <x:v>0</x:v>
      </x:c>
    </x:row>
    <x:row r="267">
      <x:c r="A267" s="21" t="str">
        <x:v>25PGDMFM028</x:v>
      </x:c>
      <x:c r="B267" s="17" t="str">
        <x:v>Priyansh Agrawal</x:v>
      </x:c>
      <x:c r="C267" s="17" t="str">
        <x:v>27-Priyansh.Agrawal@fiib.edu.in</x:v>
      </x:c>
      <x:c r="D267" s="17" t="str">
        <x:v>91-9131068960</x:v>
      </x:c>
      <x:c r="E267" s="20" t="n">
        <x:v>0</x:v>
      </x:c>
      <x:c r="F267" s="20" t="n">
        <x:v>0</x:v>
      </x:c>
      <x:c r="G267" s="19" t="n">
        <x:v>0</x:v>
      </x:c>
      <x:c r="H267" s="18" t="n">
        <x:f>IF(E267&gt;0,E267+ROW()/100000,0)</x:f>
        <x:v>0</x:v>
      </x:c>
    </x:row>
    <x:row r="268">
      <x:c r="A268" s="21" t="str">
        <x:v>25PGDMFM029</x:v>
      </x:c>
      <x:c r="B268" s="17" t="str">
        <x:v>Priyanshu Mittal</x:v>
      </x:c>
      <x:c r="C268" s="17" t="str">
        <x:v>27-Priyanshu.Mittal@fiib.edu.in</x:v>
      </x:c>
      <x:c r="D268" s="17" t="str">
        <x:v>91-7683059252</x:v>
      </x:c>
      <x:c r="E268" s="20" t="n">
        <x:v>0</x:v>
      </x:c>
      <x:c r="F268" s="20" t="n">
        <x:v>0</x:v>
      </x:c>
      <x:c r="G268" s="19" t="n">
        <x:v>0</x:v>
      </x:c>
      <x:c r="H268" s="18" t="n">
        <x:f>IF(E268&gt;0,E268+ROW()/100000,0)</x:f>
        <x:v>0</x:v>
      </x:c>
    </x:row>
    <x:row r="269">
      <x:c r="A269" s="21" t="str">
        <x:v>25PGDMFM030</x:v>
      </x:c>
      <x:c r="B269" s="17" t="str">
        <x:v>Rishita Jain</x:v>
      </x:c>
      <x:c r="C269" s="17" t="str">
        <x:v>27-Rishita.Jain@fiib.edu.in</x:v>
      </x:c>
      <x:c r="D269" s="17" t="str">
        <x:v>91-7457055387</x:v>
      </x:c>
      <x:c r="E269" s="20" t="n">
        <x:v>0</x:v>
      </x:c>
      <x:c r="F269" s="20" t="n">
        <x:v>0</x:v>
      </x:c>
      <x:c r="G269" s="19" t="n">
        <x:v>0</x:v>
      </x:c>
      <x:c r="H269" s="18" t="n">
        <x:f>IF(E269&gt;0,E269+ROW()/100000,0)</x:f>
        <x:v>0</x:v>
      </x:c>
    </x:row>
    <x:row r="270">
      <x:c r="A270" s="21" t="str">
        <x:v>25PGDMFM031</x:v>
      </x:c>
      <x:c r="B270" s="17" t="str">
        <x:v>Ritika Thakur</x:v>
      </x:c>
      <x:c r="C270" s="17" t="str">
        <x:v>27-Ritika.Thakur@fiib.edu.in</x:v>
      </x:c>
      <x:c r="D270" s="17" t="str">
        <x:v>91-8882498505</x:v>
      </x:c>
      <x:c r="E270" s="20" t="n">
        <x:v>0</x:v>
      </x:c>
      <x:c r="F270" s="20" t="n">
        <x:v>0</x:v>
      </x:c>
      <x:c r="G270" s="19" t="n">
        <x:v>0</x:v>
      </x:c>
      <x:c r="H270" s="18" t="n">
        <x:f>IF(E270&gt;0,E270+ROW()/100000,0)</x:f>
        <x:v>0</x:v>
      </x:c>
    </x:row>
    <x:row r="271">
      <x:c r="A271" s="21" t="str">
        <x:v>25PGDMFM032</x:v>
      </x:c>
      <x:c r="B271" s="17" t="str">
        <x:v>Rituraj Srivastava</x:v>
      </x:c>
      <x:c r="C271" s="17" t="str">
        <x:v>27-Rituraj.Srivastava@fiib.edu.in</x:v>
      </x:c>
      <x:c r="D271" s="17" t="str">
        <x:v>91-8858701370</x:v>
      </x:c>
      <x:c r="E271" s="20" t="n">
        <x:v>0</x:v>
      </x:c>
      <x:c r="F271" s="20" t="n">
        <x:v>0</x:v>
      </x:c>
      <x:c r="G271" s="19" t="n">
        <x:v>0</x:v>
      </x:c>
      <x:c r="H271" s="18" t="n">
        <x:f>IF(E271&gt;0,E271+ROW()/100000,0)</x:f>
        <x:v>0</x:v>
      </x:c>
    </x:row>
    <x:row r="272">
      <x:c r="A272" s="21" t="str">
        <x:v>25PGDMFM033</x:v>
      </x:c>
      <x:c r="B272" s="17" t="str">
        <x:v>Riya Sirohi</x:v>
      </x:c>
      <x:c r="C272" s="17" t="str">
        <x:v>27-Riya.Sirohi@fiib.edu.in</x:v>
      </x:c>
      <x:c r="D272" s="17" t="str">
        <x:v>91-9079668432</x:v>
      </x:c>
      <x:c r="E272" s="20" t="n">
        <x:v>0</x:v>
      </x:c>
      <x:c r="F272" s="20" t="n">
        <x:v>0</x:v>
      </x:c>
      <x:c r="G272" s="19" t="n">
        <x:v>0</x:v>
      </x:c>
      <x:c r="H272" s="18" t="n">
        <x:f>IF(E272&gt;0,E272+ROW()/100000,0)</x:f>
        <x:v>0</x:v>
      </x:c>
    </x:row>
    <x:row r="273">
      <x:c r="A273" s="21" t="str">
        <x:v>25PGDMFM034</x:v>
      </x:c>
      <x:c r="B273" s="17" t="str">
        <x:v>Rudra Gahlot</x:v>
      </x:c>
      <x:c r="C273" s="17" t="str">
        <x:v>27-Rudra.Gahlot@fiib.edu.in</x:v>
      </x:c>
      <x:c r="D273" s="17" t="str">
        <x:v>91-7042357053</x:v>
      </x:c>
      <x:c r="E273" s="20" t="n">
        <x:v>0</x:v>
      </x:c>
      <x:c r="F273" s="20" t="n">
        <x:v>0</x:v>
      </x:c>
      <x:c r="G273" s="19" t="n">
        <x:v>0</x:v>
      </x:c>
      <x:c r="H273" s="18" t="n">
        <x:f>IF(E273&gt;0,E273+ROW()/100000,0)</x:f>
        <x:v>0</x:v>
      </x:c>
    </x:row>
    <x:row r="274">
      <x:c r="A274" s="21" t="str">
        <x:v>25PGDMFM036</x:v>
      </x:c>
      <x:c r="B274" s="17" t="str">
        <x:v>Sanchit Pande</x:v>
      </x:c>
      <x:c r="C274" s="17" t="str">
        <x:v>27-Sanchit.Pande@fiib.edu.in</x:v>
      </x:c>
      <x:c r="D274" s="17" t="str">
        <x:v>91-9411193030</x:v>
      </x:c>
      <x:c r="E274" s="20" t="n">
        <x:v>0</x:v>
      </x:c>
      <x:c r="F274" s="20" t="n">
        <x:v>0</x:v>
      </x:c>
      <x:c r="G274" s="19" t="n">
        <x:v>0</x:v>
      </x:c>
      <x:c r="H274" s="18" t="n">
        <x:f>IF(E274&gt;0,E274+ROW()/100000,0)</x:f>
        <x:v>0</x:v>
      </x:c>
    </x:row>
    <x:row r="275">
      <x:c r="A275" s="21" t="str">
        <x:v>25PGDMFM037</x:v>
      </x:c>
      <x:c r="B275" s="17" t="str">
        <x:v>Shagun Gupta</x:v>
      </x:c>
      <x:c r="C275" s="17" t="str">
        <x:v>27-Shagun.Gupta@fiib.edu.in</x:v>
      </x:c>
      <x:c r="D275" s="17" t="str">
        <x:v>91-9210745886</x:v>
      </x:c>
      <x:c r="E275" s="20" t="n">
        <x:v>0</x:v>
      </x:c>
      <x:c r="F275" s="20" t="n">
        <x:v>0</x:v>
      </x:c>
      <x:c r="G275" s="19" t="n">
        <x:v>0</x:v>
      </x:c>
      <x:c r="H275" s="18" t="n">
        <x:f>IF(E275&gt;0,E275+ROW()/100000,0)</x:f>
        <x:v>0</x:v>
      </x:c>
    </x:row>
    <x:row r="276">
      <x:c r="A276" s="21" t="str">
        <x:v>25PGDMFM038</x:v>
      </x:c>
      <x:c r="B276" s="17" t="str">
        <x:v>Subham Kumar</x:v>
      </x:c>
      <x:c r="C276" s="17" t="str">
        <x:v>27-Subham.Kumar@fiib.edu.in</x:v>
      </x:c>
      <x:c r="D276" s="17" t="str">
        <x:v>91-8862806707</x:v>
      </x:c>
      <x:c r="E276" s="20" t="n">
        <x:v>0</x:v>
      </x:c>
      <x:c r="F276" s="20" t="n">
        <x:v>0</x:v>
      </x:c>
      <x:c r="G276" s="19" t="n">
        <x:v>0</x:v>
      </x:c>
      <x:c r="H276" s="18" t="n">
        <x:f>IF(E276&gt;0,E276+ROW()/100000,0)</x:f>
        <x:v>0</x:v>
      </x:c>
    </x:row>
    <x:row r="277">
      <x:c r="A277" s="21" t="str">
        <x:v>25PGDMFM039</x:v>
      </x:c>
      <x:c r="B277" s="17" t="str">
        <x:v>Sulabh Aggarwal</x:v>
      </x:c>
      <x:c r="C277" s="17" t="str">
        <x:v>27-Sulabh.Aggarwal@fiib.edu.in</x:v>
      </x:c>
      <x:c r="D277" s="17" t="str">
        <x:v>91-7087535950</x:v>
      </x:c>
      <x:c r="E277" s="20" t="n">
        <x:v>0</x:v>
      </x:c>
      <x:c r="F277" s="20" t="n">
        <x:v>0</x:v>
      </x:c>
      <x:c r="G277" s="19" t="n">
        <x:v>0</x:v>
      </x:c>
      <x:c r="H277" s="18" t="n">
        <x:f>IF(E277&gt;0,E277+ROW()/100000,0)</x:f>
        <x:v>0</x:v>
      </x:c>
    </x:row>
    <x:row r="278">
      <x:c r="A278" s="21" t="str">
        <x:v>25PGDMFM040</x:v>
      </x:c>
      <x:c r="B278" s="17" t="str">
        <x:v>Surbhi Gupta</x:v>
      </x:c>
      <x:c r="C278" s="17" t="str">
        <x:v>27-Surbhi.Gupta@fiib.edu.in</x:v>
      </x:c>
      <x:c r="D278" s="17" t="str">
        <x:v>91-6306263697</x:v>
      </x:c>
      <x:c r="E278" s="20" t="n">
        <x:v>0</x:v>
      </x:c>
      <x:c r="F278" s="20" t="n">
        <x:v>0</x:v>
      </x:c>
      <x:c r="G278" s="19" t="n">
        <x:v>0</x:v>
      </x:c>
      <x:c r="H278" s="18" t="n">
        <x:f>IF(E278&gt;0,E278+ROW()/100000,0)</x:f>
        <x:v>0</x:v>
      </x:c>
    </x:row>
    <x:row r="279">
      <x:c r="A279" s="21" t="str">
        <x:v>25PGDMFM041</x:v>
      </x:c>
      <x:c r="B279" s="17" t="str">
        <x:v>Surjeet Singh</x:v>
      </x:c>
      <x:c r="C279" s="17" t="str">
        <x:v>27-Surjeet.Singh@fiib.edu.in</x:v>
      </x:c>
      <x:c r="D279" s="17" t="str">
        <x:v>91-9318458975</x:v>
      </x:c>
      <x:c r="E279" s="20" t="n">
        <x:v>0</x:v>
      </x:c>
      <x:c r="F279" s="20" t="n">
        <x:v>0</x:v>
      </x:c>
      <x:c r="G279" s="19" t="n">
        <x:v>0</x:v>
      </x:c>
      <x:c r="H279" s="18" t="n">
        <x:f>IF(E279&gt;0,E279+ROW()/100000,0)</x:f>
        <x:v>0</x:v>
      </x:c>
    </x:row>
    <x:row r="280">
      <x:c r="A280" s="21" t="str">
        <x:v>25PGDMFM042</x:v>
      </x:c>
      <x:c r="B280" s="17" t="str">
        <x:v>Swastika Sri</x:v>
      </x:c>
      <x:c r="C280" s="17" t="str">
        <x:v>27-Swastika.Sri@fiib.edu.in</x:v>
      </x:c>
      <x:c r="D280" s="17" t="str">
        <x:v>91-7004853637</x:v>
      </x:c>
      <x:c r="E280" s="20" t="n">
        <x:v>0</x:v>
      </x:c>
      <x:c r="F280" s="20" t="n">
        <x:v>0</x:v>
      </x:c>
      <x:c r="G280" s="19" t="n">
        <x:v>0</x:v>
      </x:c>
      <x:c r="H280" s="18" t="n">
        <x:f>IF(E280&gt;0,E280+ROW()/100000,0)</x:f>
        <x:v>0</x:v>
      </x:c>
    </x:row>
    <x:row r="281">
      <x:c r="A281" s="21" t="str">
        <x:v>25PGDMFM043</x:v>
      </x:c>
      <x:c r="B281" s="17" t="str">
        <x:v>Swyam Sanchit</x:v>
      </x:c>
      <x:c r="C281" s="17" t="str">
        <x:v>27-Swyam.Sanchit@fiib.edu.in</x:v>
      </x:c>
      <x:c r="D281" s="17" t="str">
        <x:v>91-7549106760</x:v>
      </x:c>
      <x:c r="E281" s="20" t="n">
        <x:v>0</x:v>
      </x:c>
      <x:c r="F281" s="20" t="n">
        <x:v>0</x:v>
      </x:c>
      <x:c r="G281" s="19" t="n">
        <x:v>0</x:v>
      </x:c>
      <x:c r="H281" s="18" t="n">
        <x:f>IF(E281&gt;0,E281+ROW()/100000,0)</x:f>
        <x:v>0</x:v>
      </x:c>
    </x:row>
    <x:row r="282">
      <x:c r="A282" s="21" t="str">
        <x:v>25PGDMFM044</x:v>
      </x:c>
      <x:c r="B282" s="17" t="str">
        <x:v>Tanya Grover</x:v>
      </x:c>
      <x:c r="C282" s="17" t="str">
        <x:v>27-Tanya.Grover@fiib.edu.in</x:v>
      </x:c>
      <x:c r="D282" s="17" t="str">
        <x:v>91-7982961628</x:v>
      </x:c>
      <x:c r="E282" s="20" t="n">
        <x:v>0</x:v>
      </x:c>
      <x:c r="F282" s="20" t="n">
        <x:v>0</x:v>
      </x:c>
      <x:c r="G282" s="19" t="n">
        <x:v>0</x:v>
      </x:c>
      <x:c r="H282" s="18" t="n">
        <x:f>IF(E282&gt;0,E282+ROW()/100000,0)</x:f>
        <x:v>0</x:v>
      </x:c>
    </x:row>
    <x:row r="283">
      <x:c r="A283" s="21" t="str">
        <x:v>25PGDMFM045</x:v>
      </x:c>
      <x:c r="B283" s="17" t="str">
        <x:v>Tej Pratap Singh</x:v>
      </x:c>
      <x:c r="C283" s="17" t="str">
        <x:v>27-tej.singh@fiib.edu.in</x:v>
      </x:c>
      <x:c r="D283" s="17" t="str">
        <x:v>91-8755711302</x:v>
      </x:c>
      <x:c r="E283" s="20" t="n">
        <x:v>0</x:v>
      </x:c>
      <x:c r="F283" s="20" t="n">
        <x:v>0</x:v>
      </x:c>
      <x:c r="G283" s="19" t="n">
        <x:v>0</x:v>
      </x:c>
      <x:c r="H283" s="18" t="n">
        <x:f>IF(E283&gt;0,E283+ROW()/100000,0)</x:f>
        <x:v>0</x:v>
      </x:c>
    </x:row>
    <x:row r="284">
      <x:c r="A284" s="21" t="str">
        <x:v>25PGDMFM046</x:v>
      </x:c>
      <x:c r="B284" s="17" t="str">
        <x:v>Vivek Kumar</x:v>
      </x:c>
      <x:c r="C284" s="17" t="str">
        <x:v>27-Vivek.Kumar@fiib.edu.in</x:v>
      </x:c>
      <x:c r="D284" s="17" t="str">
        <x:v>91-7779860437</x:v>
      </x:c>
      <x:c r="E284" s="20" t="n">
        <x:v>0</x:v>
      </x:c>
      <x:c r="F284" s="20" t="n">
        <x:v>0</x:v>
      </x:c>
      <x:c r="G284" s="19" t="n">
        <x:v>0</x:v>
      </x:c>
      <x:c r="H284" s="18" t="n">
        <x:f>IF(E284&gt;0,E284+ROW()/100000,0)</x:f>
        <x:v>0</x:v>
      </x:c>
    </x:row>
    <x:row r="285">
      <x:c r="A285" s="21" t="str">
        <x:v>25PGDMFM047</x:v>
      </x:c>
      <x:c r="B285" s="17" t="str">
        <x:v>Aditi Singla</x:v>
      </x:c>
      <x:c r="C285" s="17" t="str">
        <x:v>27-Aditi.Singla@fiib.edu.in</x:v>
      </x:c>
      <x:c r="D285" s="17" t="str">
        <x:v>91-8178517575</x:v>
      </x:c>
      <x:c r="E285" s="20" t="n">
        <x:v>0</x:v>
      </x:c>
      <x:c r="F285" s="20" t="n">
        <x:v>0</x:v>
      </x:c>
      <x:c r="G285" s="19" t="n">
        <x:v>0</x:v>
      </x:c>
      <x:c r="H285" s="18" t="n">
        <x:f>IF(E285&gt;0,E285+ROW()/100000,0)</x:f>
        <x:v>0</x:v>
      </x:c>
    </x:row>
    <x:row r="286">
      <x:c r="A286" s="21" t="str">
        <x:v>25PGDMFM048</x:v>
      </x:c>
      <x:c r="B286" s="17" t="str">
        <x:v>Kanishka Sharma</x:v>
      </x:c>
      <x:c r="C286" s="17" t="str">
        <x:v>27-Kanishka.Sharma@fiib.edu.in</x:v>
      </x:c>
      <x:c r="D286" s="17" t="str">
        <x:v>91-9582472900</x:v>
      </x:c>
      <x:c r="E286" s="20" t="n">
        <x:v>0</x:v>
      </x:c>
      <x:c r="F286" s="20" t="n">
        <x:v>0</x:v>
      </x:c>
      <x:c r="G286" s="19" t="n">
        <x:v>0</x:v>
      </x:c>
      <x:c r="H286" s="18" t="n">
        <x:f>IF(E286&gt;0,E286+ROW()/100000,0)</x:f>
        <x:v>0</x:v>
      </x:c>
    </x:row>
    <x:row r="287">
      <x:c r="A287" s="21" t="str">
        <x:v>25PGDMFM049</x:v>
      </x:c>
      <x:c r="B287" s="17" t="str">
        <x:v>Shreya Khanna</x:v>
      </x:c>
      <x:c r="C287" s="17" t="str">
        <x:v>27-shreya.khanna@fiib.edu.in</x:v>
      </x:c>
      <x:c r="D287" s="17" t="str">
        <x:v>91-9696590349</x:v>
      </x:c>
      <x:c r="E287" s="20" t="n">
        <x:v>0</x:v>
      </x:c>
      <x:c r="F287" s="20" t="n">
        <x:v>0</x:v>
      </x:c>
      <x:c r="G287" s="19" t="n">
        <x:v>0</x:v>
      </x:c>
      <x:c r="H287" s="18" t="n">
        <x:f>IF(E287&gt;0,E287+ROW()/100000,0)</x:f>
        <x:v>0</x:v>
      </x:c>
    </x:row>
    <x:row r="288">
      <x:c r="A288" s="21" t="str">
        <x:v>25PGDMFM050</x:v>
      </x:c>
      <x:c r="B288" s="17" t="str">
        <x:v>Ankit Singh</x:v>
      </x:c>
      <x:c r="C288" s="17" t="str">
        <x:v>27-Ankit.Singh@fiib.edu.in</x:v>
      </x:c>
      <x:c r="D288" s="17" t="str">
        <x:v>91-7070405201</x:v>
      </x:c>
      <x:c r="E288" s="20" t="n">
        <x:v>0</x:v>
      </x:c>
      <x:c r="F288" s="20" t="n">
        <x:v>0</x:v>
      </x:c>
      <x:c r="G288" s="19" t="n">
        <x:v>0</x:v>
      </x:c>
      <x:c r="H288" s="18" t="n">
        <x:f>IF(E288&gt;0,E288+ROW()/100000,0)</x:f>
        <x:v>0</x:v>
      </x:c>
    </x:row>
    <x:row r="289">
      <x:c r="A289" s="21" t="str">
        <x:v>25PGDMFM051</x:v>
      </x:c>
      <x:c r="B289" s="17" t="str">
        <x:v>Palak</x:v>
      </x:c>
      <x:c r="C289" s="17" t="str">
        <x:v>27-palak@fiib.edu.in</x:v>
      </x:c>
      <x:c r="D289" s="17" t="str">
        <x:v>91-9306996315</x:v>
      </x:c>
      <x:c r="E289" s="20" t="n">
        <x:v>0</x:v>
      </x:c>
      <x:c r="F289" s="20" t="n">
        <x:v>0</x:v>
      </x:c>
      <x:c r="G289" s="19" t="n">
        <x:v>0</x:v>
      </x:c>
      <x:c r="H289" s="18" t="n">
        <x:f>IF(E289&gt;0,E289+ROW()/100000,0)</x:f>
        <x:v>0</x:v>
      </x:c>
    </x:row>
    <x:row r="290">
      <x:c r="A290" s="21" t="str">
        <x:v>25PGDMFM052</x:v>
      </x:c>
      <x:c r="B290" s="17" t="str">
        <x:v>Sayali Mhatre</x:v>
      </x:c>
      <x:c r="C290" s="17" t="str">
        <x:v>27-sayali.mhatre@fiib.edu.in</x:v>
      </x:c>
      <x:c r="D290" s="17" t="str">
        <x:v>91-8605971972</x:v>
      </x:c>
      <x:c r="E290" s="20" t="n">
        <x:v>0</x:v>
      </x:c>
      <x:c r="F290" s="20" t="n">
        <x:v>0</x:v>
      </x:c>
      <x:c r="G290" s="19" t="n">
        <x:v>0</x:v>
      </x:c>
      <x:c r="H290" s="18" t="n">
        <x:f>IF(E290&gt;0,E290+ROW()/100000,0)</x:f>
        <x:v>0</x:v>
      </x:c>
    </x:row>
    <x:row r="291">
      <x:c r="A291" s="21" t="str">
        <x:v>25PGDMFM054</x:v>
      </x:c>
      <x:c r="B291" s="17" t="str">
        <x:v>Ayushi Jain</x:v>
      </x:c>
      <x:c r="C291" s="17" t="str">
        <x:v>27-ayushi.jain@fiib.edu.in</x:v>
      </x:c>
      <x:c r="D291" s="17" t="str">
        <x:v>91-7568601666</x:v>
      </x:c>
      <x:c r="E291" s="20" t="n">
        <x:v>0</x:v>
      </x:c>
      <x:c r="F291" s="20" t="n">
        <x:v>0</x:v>
      </x:c>
      <x:c r="G291" s="19" t="n">
        <x:v>0</x:v>
      </x:c>
      <x:c r="H291" s="18" t="n">
        <x:f>IF(E291&gt;0,E291+ROW()/100000,0)</x:f>
        <x:v>0</x:v>
      </x:c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2" t="str">
        <x:v>🏆 ZIP AHEAD — 2025-27 Leaderboard</x:v>
      </x:c>
      <x:c r="B1" s="2"/>
      <x:c r="C1" s="2"/>
      <x:c r="D1" s="2"/>
      <x:c r="E1" s="2"/>
      <x:c r="F1" s="2"/>
    </x:row>
    <x:row r="2">
      <x:c r="A2" s="5" t="str">
        <x:v>Top 10 students by total score across submitted questions</x:v>
      </x:c>
      <x:c r="B2" s="5"/>
      <x:c r="C2" s="5"/>
      <x:c r="D2" s="5"/>
      <x:c r="E2" s="5"/>
      <x:c r="F2" s="5"/>
    </x:row>
    <x:row r="4" ht="34" customHeight="1">
      <x:c r="A4" s="13" t="str">
        <x:v>Rank</x:v>
      </x:c>
      <x:c r="B4" s="13" t="str">
        <x:v>Roll Number</x:v>
      </x:c>
      <x:c r="C4" s="13" t="str">
        <x:v>Name</x:v>
      </x:c>
      <x:c r="D4" s="13" t="str">
        <x:v>Total Score</x:v>
      </x:c>
      <x:c r="E4" s="13" t="str">
        <x:v>Average Score</x:v>
      </x:c>
      <x:c r="F4" s="13" t="str">
        <x:v>Questions Answered</x:v>
      </x:c>
    </x:row>
    <x:row r="5">
      <x:c r="A5" s="28" t="n">
        <x:v>1</x:v>
      </x:c>
      <x:c r="B5" s="25" t="str">
        <x:f>IFERROR(IF(LARGE('Student Tracker'!$H$6:$H$291,1)&lt;=0,"",INDEX('Student Tracker'!$A$6:$A$291,MATCH(LARGE('Student Tracker'!$H$6:$H$291,1),'Student Tracker'!$H$6:$H$291,0))),"")</x:f>
      </x:c>
      <x:c r="C5" s="25" t="str">
        <x:f>IFERROR(IF(LARGE('Student Tracker'!$H$6:$H$291,1)&lt;=0,"",INDEX('Student Tracker'!$B$6:$B$291,MATCH(LARGE('Student Tracker'!$H$6:$H$291,1),'Student Tracker'!$H$6:$H$291,0))),"")</x:f>
      </x:c>
      <x:c r="D5" s="30" t="str">
        <x:f>IFERROR(IF(LARGE('Student Tracker'!$H$6:$H$291,1)&lt;=0,"",INDEX('Student Tracker'!$E$6:$E$291,MATCH(LARGE('Student Tracker'!$H$6:$H$291,1),'Student Tracker'!$H$6:$H$291,0))),"")</x:f>
      </x:c>
      <x:c r="E5" s="30" t="str">
        <x:f>IFERROR(IF(LARGE('Student Tracker'!$H$6:$H$291,1)&lt;=0,"",INDEX('Student Tracker'!$F$6:$F$291,MATCH(LARGE('Student Tracker'!$H$6:$H$291,1),'Student Tracker'!$H$6:$H$291,0))),"")</x:f>
      </x:c>
      <x:c r="F5" s="29" t="str">
        <x:f>IFERROR(IF(LARGE('Student Tracker'!$H$6:$H$291,1)&lt;=0,"",INDEX('Student Tracker'!$G$6:$G$291,MATCH(LARGE('Student Tracker'!$H$6:$H$291,1),'Student Tracker'!$H$6:$H$291,0))),"")</x:f>
      </x:c>
    </x:row>
    <x:row r="6">
      <x:c r="A6" s="28" t="n">
        <x:v>2</x:v>
      </x:c>
      <x:c r="B6" s="25" t="str">
        <x:f>IFERROR(IF(LARGE('Student Tracker'!$H$6:$H$291,2)&lt;=0,"",INDEX('Student Tracker'!$A$6:$A$291,MATCH(LARGE('Student Tracker'!$H$6:$H$291,2),'Student Tracker'!$H$6:$H$291,0))),"")</x:f>
      </x:c>
      <x:c r="C6" s="25" t="str">
        <x:f>IFERROR(IF(LARGE('Student Tracker'!$H$6:$H$291,2)&lt;=0,"",INDEX('Student Tracker'!$B$6:$B$291,MATCH(LARGE('Student Tracker'!$H$6:$H$291,2),'Student Tracker'!$H$6:$H$291,0))),"")</x:f>
      </x:c>
      <x:c r="D6" s="30" t="str">
        <x:f>IFERROR(IF(LARGE('Student Tracker'!$H$6:$H$291,2)&lt;=0,"",INDEX('Student Tracker'!$E$6:$E$291,MATCH(LARGE('Student Tracker'!$H$6:$H$291,2),'Student Tracker'!$H$6:$H$291,0))),"")</x:f>
      </x:c>
      <x:c r="E6" s="30" t="str">
        <x:f>IFERROR(IF(LARGE('Student Tracker'!$H$6:$H$291,2)&lt;=0,"",INDEX('Student Tracker'!$F$6:$F$291,MATCH(LARGE('Student Tracker'!$H$6:$H$291,2),'Student Tracker'!$H$6:$H$291,0))),"")</x:f>
      </x:c>
      <x:c r="F6" s="29" t="str">
        <x:f>IFERROR(IF(LARGE('Student Tracker'!$H$6:$H$291,2)&lt;=0,"",INDEX('Student Tracker'!$G$6:$G$291,MATCH(LARGE('Student Tracker'!$H$6:$H$291,2),'Student Tracker'!$H$6:$H$291,0))),"")</x:f>
      </x:c>
    </x:row>
    <x:row r="7">
      <x:c r="A7" s="28" t="n">
        <x:v>3</x:v>
      </x:c>
      <x:c r="B7" s="25" t="str">
        <x:f>IFERROR(IF(LARGE('Student Tracker'!$H$6:$H$291,3)&lt;=0,"",INDEX('Student Tracker'!$A$6:$A$291,MATCH(LARGE('Student Tracker'!$H$6:$H$291,3),'Student Tracker'!$H$6:$H$291,0))),"")</x:f>
      </x:c>
      <x:c r="C7" s="25" t="str">
        <x:f>IFERROR(IF(LARGE('Student Tracker'!$H$6:$H$291,3)&lt;=0,"",INDEX('Student Tracker'!$B$6:$B$291,MATCH(LARGE('Student Tracker'!$H$6:$H$291,3),'Student Tracker'!$H$6:$H$291,0))),"")</x:f>
      </x:c>
      <x:c r="D7" s="30" t="str">
        <x:f>IFERROR(IF(LARGE('Student Tracker'!$H$6:$H$291,3)&lt;=0,"",INDEX('Student Tracker'!$E$6:$E$291,MATCH(LARGE('Student Tracker'!$H$6:$H$291,3),'Student Tracker'!$H$6:$H$291,0))),"")</x:f>
      </x:c>
      <x:c r="E7" s="30" t="str">
        <x:f>IFERROR(IF(LARGE('Student Tracker'!$H$6:$H$291,3)&lt;=0,"",INDEX('Student Tracker'!$F$6:$F$291,MATCH(LARGE('Student Tracker'!$H$6:$H$291,3),'Student Tracker'!$H$6:$H$291,0))),"")</x:f>
      </x:c>
      <x:c r="F7" s="29" t="str">
        <x:f>IFERROR(IF(LARGE('Student Tracker'!$H$6:$H$291,3)&lt;=0,"",INDEX('Student Tracker'!$G$6:$G$291,MATCH(LARGE('Student Tracker'!$H$6:$H$291,3),'Student Tracker'!$H$6:$H$291,0))),"")</x:f>
      </x:c>
    </x:row>
    <x:row r="8">
      <x:c r="A8" s="28" t="n">
        <x:v>4</x:v>
      </x:c>
      <x:c r="B8" s="25" t="str">
        <x:f>IFERROR(IF(LARGE('Student Tracker'!$H$6:$H$291,4)&lt;=0,"",INDEX('Student Tracker'!$A$6:$A$291,MATCH(LARGE('Student Tracker'!$H$6:$H$291,4),'Student Tracker'!$H$6:$H$291,0))),"")</x:f>
      </x:c>
      <x:c r="C8" s="25" t="str">
        <x:f>IFERROR(IF(LARGE('Student Tracker'!$H$6:$H$291,4)&lt;=0,"",INDEX('Student Tracker'!$B$6:$B$291,MATCH(LARGE('Student Tracker'!$H$6:$H$291,4),'Student Tracker'!$H$6:$H$291,0))),"")</x:f>
      </x:c>
      <x:c r="D8" s="30" t="str">
        <x:f>IFERROR(IF(LARGE('Student Tracker'!$H$6:$H$291,4)&lt;=0,"",INDEX('Student Tracker'!$E$6:$E$291,MATCH(LARGE('Student Tracker'!$H$6:$H$291,4),'Student Tracker'!$H$6:$H$291,0))),"")</x:f>
      </x:c>
      <x:c r="E8" s="30" t="str">
        <x:f>IFERROR(IF(LARGE('Student Tracker'!$H$6:$H$291,4)&lt;=0,"",INDEX('Student Tracker'!$F$6:$F$291,MATCH(LARGE('Student Tracker'!$H$6:$H$291,4),'Student Tracker'!$H$6:$H$291,0))),"")</x:f>
      </x:c>
      <x:c r="F8" s="29" t="str">
        <x:f>IFERROR(IF(LARGE('Student Tracker'!$H$6:$H$291,4)&lt;=0,"",INDEX('Student Tracker'!$G$6:$G$291,MATCH(LARGE('Student Tracker'!$H$6:$H$291,4),'Student Tracker'!$H$6:$H$291,0))),"")</x:f>
      </x:c>
    </x:row>
    <x:row r="9">
      <x:c r="A9" s="28" t="n">
        <x:v>5</x:v>
      </x:c>
      <x:c r="B9" s="25" t="str">
        <x:f>IFERROR(IF(LARGE('Student Tracker'!$H$6:$H$291,5)&lt;=0,"",INDEX('Student Tracker'!$A$6:$A$291,MATCH(LARGE('Student Tracker'!$H$6:$H$291,5),'Student Tracker'!$H$6:$H$291,0))),"")</x:f>
      </x:c>
      <x:c r="C9" s="25" t="str">
        <x:f>IFERROR(IF(LARGE('Student Tracker'!$H$6:$H$291,5)&lt;=0,"",INDEX('Student Tracker'!$B$6:$B$291,MATCH(LARGE('Student Tracker'!$H$6:$H$291,5),'Student Tracker'!$H$6:$H$291,0))),"")</x:f>
      </x:c>
      <x:c r="D9" s="30" t="str">
        <x:f>IFERROR(IF(LARGE('Student Tracker'!$H$6:$H$291,5)&lt;=0,"",INDEX('Student Tracker'!$E$6:$E$291,MATCH(LARGE('Student Tracker'!$H$6:$H$291,5),'Student Tracker'!$H$6:$H$291,0))),"")</x:f>
      </x:c>
      <x:c r="E9" s="30" t="str">
        <x:f>IFERROR(IF(LARGE('Student Tracker'!$H$6:$H$291,5)&lt;=0,"",INDEX('Student Tracker'!$F$6:$F$291,MATCH(LARGE('Student Tracker'!$H$6:$H$291,5),'Student Tracker'!$H$6:$H$291,0))),"")</x:f>
      </x:c>
      <x:c r="F9" s="29" t="str">
        <x:f>IFERROR(IF(LARGE('Student Tracker'!$H$6:$H$291,5)&lt;=0,"",INDEX('Student Tracker'!$G$6:$G$291,MATCH(LARGE('Student Tracker'!$H$6:$H$291,5),'Student Tracker'!$H$6:$H$291,0))),"")</x:f>
      </x:c>
    </x:row>
    <x:row r="10">
      <x:c r="A10" s="28" t="n">
        <x:v>6</x:v>
      </x:c>
      <x:c r="B10" s="25" t="str">
        <x:f>IFERROR(IF(LARGE('Student Tracker'!$H$6:$H$291,6)&lt;=0,"",INDEX('Student Tracker'!$A$6:$A$291,MATCH(LARGE('Student Tracker'!$H$6:$H$291,6),'Student Tracker'!$H$6:$H$291,0))),"")</x:f>
      </x:c>
      <x:c r="C10" s="25" t="str">
        <x:f>IFERROR(IF(LARGE('Student Tracker'!$H$6:$H$291,6)&lt;=0,"",INDEX('Student Tracker'!$B$6:$B$291,MATCH(LARGE('Student Tracker'!$H$6:$H$291,6),'Student Tracker'!$H$6:$H$291,0))),"")</x:f>
      </x:c>
      <x:c r="D10" s="30" t="str">
        <x:f>IFERROR(IF(LARGE('Student Tracker'!$H$6:$H$291,6)&lt;=0,"",INDEX('Student Tracker'!$E$6:$E$291,MATCH(LARGE('Student Tracker'!$H$6:$H$291,6),'Student Tracker'!$H$6:$H$291,0))),"")</x:f>
      </x:c>
      <x:c r="E10" s="30" t="str">
        <x:f>IFERROR(IF(LARGE('Student Tracker'!$H$6:$H$291,6)&lt;=0,"",INDEX('Student Tracker'!$F$6:$F$291,MATCH(LARGE('Student Tracker'!$H$6:$H$291,6),'Student Tracker'!$H$6:$H$291,0))),"")</x:f>
      </x:c>
      <x:c r="F10" s="29" t="str">
        <x:f>IFERROR(IF(LARGE('Student Tracker'!$H$6:$H$291,6)&lt;=0,"",INDEX('Student Tracker'!$G$6:$G$291,MATCH(LARGE('Student Tracker'!$H$6:$H$291,6),'Student Tracker'!$H$6:$H$291,0))),"")</x:f>
      </x:c>
    </x:row>
    <x:row r="11">
      <x:c r="A11" s="28" t="n">
        <x:v>7</x:v>
      </x:c>
      <x:c r="B11" s="25" t="str">
        <x:f>IFERROR(IF(LARGE('Student Tracker'!$H$6:$H$291,7)&lt;=0,"",INDEX('Student Tracker'!$A$6:$A$291,MATCH(LARGE('Student Tracker'!$H$6:$H$291,7),'Student Tracker'!$H$6:$H$291,0))),"")</x:f>
      </x:c>
      <x:c r="C11" s="25" t="str">
        <x:f>IFERROR(IF(LARGE('Student Tracker'!$H$6:$H$291,7)&lt;=0,"",INDEX('Student Tracker'!$B$6:$B$291,MATCH(LARGE('Student Tracker'!$H$6:$H$291,7),'Student Tracker'!$H$6:$H$291,0))),"")</x:f>
      </x:c>
      <x:c r="D11" s="30" t="str">
        <x:f>IFERROR(IF(LARGE('Student Tracker'!$H$6:$H$291,7)&lt;=0,"",INDEX('Student Tracker'!$E$6:$E$291,MATCH(LARGE('Student Tracker'!$H$6:$H$291,7),'Student Tracker'!$H$6:$H$291,0))),"")</x:f>
      </x:c>
      <x:c r="E11" s="30" t="str">
        <x:f>IFERROR(IF(LARGE('Student Tracker'!$H$6:$H$291,7)&lt;=0,"",INDEX('Student Tracker'!$F$6:$F$291,MATCH(LARGE('Student Tracker'!$H$6:$H$291,7),'Student Tracker'!$H$6:$H$291,0))),"")</x:f>
      </x:c>
      <x:c r="F11" s="29" t="str">
        <x:f>IFERROR(IF(LARGE('Student Tracker'!$H$6:$H$291,7)&lt;=0,"",INDEX('Student Tracker'!$G$6:$G$291,MATCH(LARGE('Student Tracker'!$H$6:$H$291,7),'Student Tracker'!$H$6:$H$291,0))),"")</x:f>
      </x:c>
    </x:row>
    <x:row r="12">
      <x:c r="A12" s="28" t="n">
        <x:v>8</x:v>
      </x:c>
      <x:c r="B12" s="25" t="str">
        <x:f>IFERROR(IF(LARGE('Student Tracker'!$H$6:$H$291,8)&lt;=0,"",INDEX('Student Tracker'!$A$6:$A$291,MATCH(LARGE('Student Tracker'!$H$6:$H$291,8),'Student Tracker'!$H$6:$H$291,0))),"")</x:f>
      </x:c>
      <x:c r="C12" s="25" t="str">
        <x:f>IFERROR(IF(LARGE('Student Tracker'!$H$6:$H$291,8)&lt;=0,"",INDEX('Student Tracker'!$B$6:$B$291,MATCH(LARGE('Student Tracker'!$H$6:$H$291,8),'Student Tracker'!$H$6:$H$291,0))),"")</x:f>
      </x:c>
      <x:c r="D12" s="30" t="str">
        <x:f>IFERROR(IF(LARGE('Student Tracker'!$H$6:$H$291,8)&lt;=0,"",INDEX('Student Tracker'!$E$6:$E$291,MATCH(LARGE('Student Tracker'!$H$6:$H$291,8),'Student Tracker'!$H$6:$H$291,0))),"")</x:f>
      </x:c>
      <x:c r="E12" s="30" t="str">
        <x:f>IFERROR(IF(LARGE('Student Tracker'!$H$6:$H$291,8)&lt;=0,"",INDEX('Student Tracker'!$F$6:$F$291,MATCH(LARGE('Student Tracker'!$H$6:$H$291,8),'Student Tracker'!$H$6:$H$291,0))),"")</x:f>
      </x:c>
      <x:c r="F12" s="29" t="str">
        <x:f>IFERROR(IF(LARGE('Student Tracker'!$H$6:$H$291,8)&lt;=0,"",INDEX('Student Tracker'!$G$6:$G$291,MATCH(LARGE('Student Tracker'!$H$6:$H$291,8),'Student Tracker'!$H$6:$H$291,0))),"")</x:f>
      </x:c>
    </x:row>
    <x:row r="13">
      <x:c r="A13" s="28" t="n">
        <x:v>9</x:v>
      </x:c>
      <x:c r="B13" s="25" t="str">
        <x:f>IFERROR(IF(LARGE('Student Tracker'!$H$6:$H$291,9)&lt;=0,"",INDEX('Student Tracker'!$A$6:$A$291,MATCH(LARGE('Student Tracker'!$H$6:$H$291,9),'Student Tracker'!$H$6:$H$291,0))),"")</x:f>
      </x:c>
      <x:c r="C13" s="25" t="str">
        <x:f>IFERROR(IF(LARGE('Student Tracker'!$H$6:$H$291,9)&lt;=0,"",INDEX('Student Tracker'!$B$6:$B$291,MATCH(LARGE('Student Tracker'!$H$6:$H$291,9),'Student Tracker'!$H$6:$H$291,0))),"")</x:f>
      </x:c>
      <x:c r="D13" s="30" t="str">
        <x:f>IFERROR(IF(LARGE('Student Tracker'!$H$6:$H$291,9)&lt;=0,"",INDEX('Student Tracker'!$E$6:$E$291,MATCH(LARGE('Student Tracker'!$H$6:$H$291,9),'Student Tracker'!$H$6:$H$291,0))),"")</x:f>
      </x:c>
      <x:c r="E13" s="30" t="str">
        <x:f>IFERROR(IF(LARGE('Student Tracker'!$H$6:$H$291,9)&lt;=0,"",INDEX('Student Tracker'!$F$6:$F$291,MATCH(LARGE('Student Tracker'!$H$6:$H$291,9),'Student Tracker'!$H$6:$H$291,0))),"")</x:f>
      </x:c>
      <x:c r="F13" s="29" t="str">
        <x:f>IFERROR(IF(LARGE('Student Tracker'!$H$6:$H$291,9)&lt;=0,"",INDEX('Student Tracker'!$G$6:$G$291,MATCH(LARGE('Student Tracker'!$H$6:$H$291,9),'Student Tracker'!$H$6:$H$291,0))),"")</x:f>
      </x:c>
    </x:row>
    <x:row r="14">
      <x:c r="A14" s="28" t="n">
        <x:v>10</x:v>
      </x:c>
      <x:c r="B14" s="25" t="str">
        <x:f>IFERROR(IF(LARGE('Student Tracker'!$H$6:$H$291,10)&lt;=0,"",INDEX('Student Tracker'!$A$6:$A$291,MATCH(LARGE('Student Tracker'!$H$6:$H$291,10),'Student Tracker'!$H$6:$H$291,0))),"")</x:f>
      </x:c>
      <x:c r="C14" s="25" t="str">
        <x:f>IFERROR(IF(LARGE('Student Tracker'!$H$6:$H$291,10)&lt;=0,"",INDEX('Student Tracker'!$B$6:$B$291,MATCH(LARGE('Student Tracker'!$H$6:$H$291,10),'Student Tracker'!$H$6:$H$291,0))),"")</x:f>
      </x:c>
      <x:c r="D14" s="30" t="str">
        <x:f>IFERROR(IF(LARGE('Student Tracker'!$H$6:$H$291,10)&lt;=0,"",INDEX('Student Tracker'!$E$6:$E$291,MATCH(LARGE('Student Tracker'!$H$6:$H$291,10),'Student Tracker'!$H$6:$H$291,0))),"")</x:f>
      </x:c>
      <x:c r="E14" s="30" t="str">
        <x:f>IFERROR(IF(LARGE('Student Tracker'!$H$6:$H$291,10)&lt;=0,"",INDEX('Student Tracker'!$F$6:$F$291,MATCH(LARGE('Student Tracker'!$H$6:$H$291,10),'Student Tracker'!$H$6:$H$291,0))),"")</x:f>
      </x:c>
      <x:c r="F14" s="29" t="str">
        <x:f>IFERROR(IF(LARGE('Student Tracker'!$H$6:$H$291,10)&lt;=0,"",INDEX('Student Tracker'!$G$6:$G$291,MATCH(LARGE('Student Tracker'!$H$6:$H$291,10),'Student Tracker'!$H$6:$H$291,0))),"")</x:f>
      </x:c>
    </x:row>
  </x:sheetData>
  <x:mergeCells>
    <x:mergeCell ref="A1:F1"/>
    <x:mergeCell ref="A2:F2"/>
  </x:mergeCells>
  <x:pageMargins left="0.7" right="0.7" top="0.75" bottom="0.75" header="0.3" footer="0.3"/>
</x:worksheet>
</file>